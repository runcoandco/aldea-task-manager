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SETUP" sheetId="1" r:id="rId5"/>
    <sheet state="visible" name="1_DASHBOARD" sheetId="2" r:id="rId6"/>
    <sheet state="visible" name="2_TASKS" sheetId="3" r:id="rId7"/>
    <sheet state="visible" name="3_ARCHIVE" sheetId="4" r:id="rId8"/>
  </sheets>
  <definedNames>
    <definedName name="Task_Status">'0_SETUP'!$D$2:$D$6</definedName>
    <definedName name="Task_Priorities">'0_SETUP'!$C$2:$C$5</definedName>
    <definedName name="Task_Areas">'0_SETUP'!$B$2:$B$20</definedName>
    <definedName name="Task_Owners">'0_SETUP'!$A$2:$A$9</definedName>
  </definedNames>
  <calcPr/>
</workbook>
</file>

<file path=xl/sharedStrings.xml><?xml version="1.0" encoding="utf-8"?>
<sst xmlns="http://schemas.openxmlformats.org/spreadsheetml/2006/main" count="280" uniqueCount="94">
  <si>
    <t>Owners</t>
  </si>
  <si>
    <t>Areas</t>
  </si>
  <si>
    <t>Priorities</t>
  </si>
  <si>
    <t>Statuses</t>
  </si>
  <si>
    <t>Operating Rule</t>
  </si>
  <si>
    <t>ALL</t>
  </si>
  <si>
    <t>Urgent</t>
  </si>
  <si>
    <t>To Do</t>
  </si>
  <si>
    <t>Everyone can add rows. New rows can be incomplete. Joaquin or the ops owner cleans owner, area, priority, status, due date, and links during review.</t>
  </si>
  <si>
    <t>Joaquin</t>
  </si>
  <si>
    <t>Forest Studio</t>
  </si>
  <si>
    <t>High</t>
  </si>
  <si>
    <t>Doing</t>
  </si>
  <si>
    <t>Manuela</t>
  </si>
  <si>
    <t>Sales</t>
  </si>
  <si>
    <t>Medium</t>
  </si>
  <si>
    <t>Waiting</t>
  </si>
  <si>
    <t>Jimena</t>
  </si>
  <si>
    <t>Legal</t>
  </si>
  <si>
    <t>Low</t>
  </si>
  <si>
    <t>Blocked</t>
  </si>
  <si>
    <t>Gustavo</t>
  </si>
  <si>
    <t>Finance</t>
  </si>
  <si>
    <t>Done</t>
  </si>
  <si>
    <t>Pedro</t>
  </si>
  <si>
    <t>Banks</t>
  </si>
  <si>
    <t>Marina</t>
  </si>
  <si>
    <t>Construction</t>
  </si>
  <si>
    <t>Mafalda</t>
  </si>
  <si>
    <t>Marketing</t>
  </si>
  <si>
    <t>Cristián</t>
  </si>
  <si>
    <t>Operations</t>
  </si>
  <si>
    <t>Admin</t>
  </si>
  <si>
    <t>Network</t>
  </si>
  <si>
    <t>ALDEA Team Task Manager</t>
  </si>
  <si>
    <t>Owner</t>
  </si>
  <si>
    <t>Overdue</t>
  </si>
  <si>
    <t>This Week</t>
  </si>
  <si>
    <t>Area</t>
  </si>
  <si>
    <t>Open w/ Priority</t>
  </si>
  <si>
    <t>OVERDUE</t>
  </si>
  <si>
    <t>Mark Done</t>
  </si>
  <si>
    <t>Task ID</t>
  </si>
  <si>
    <t>Task</t>
  </si>
  <si>
    <t>Priority</t>
  </si>
  <si>
    <t>Status</t>
  </si>
  <si>
    <t>Due Date</t>
  </si>
  <si>
    <t>Next Action</t>
  </si>
  <si>
    <t>BLOCKED</t>
  </si>
  <si>
    <t>WAITING</t>
  </si>
  <si>
    <t>DUE THIS WEEK</t>
  </si>
  <si>
    <t>URGENT AND HIGH PRIORITY OPEN</t>
  </si>
  <si>
    <t>Blocker</t>
  </si>
  <si>
    <t>Link</t>
  </si>
  <si>
    <t>Notes</t>
  </si>
  <si>
    <t>Seguimiento Abanca</t>
  </si>
  <si>
    <t>Envio documentación Credito Agricola</t>
  </si>
  <si>
    <t>Mercadeo cultural</t>
  </si>
  <si>
    <t>Creación 5 pager investors</t>
  </si>
  <si>
    <t>Creación 5 pager realtors</t>
  </si>
  <si>
    <t>Revision HOA  doc. Nouri</t>
  </si>
  <si>
    <t>Creación documento HOA ALDEA</t>
  </si>
  <si>
    <t>Sacar Licencia AMI CMS</t>
  </si>
  <si>
    <t>Waiting for sales strategy</t>
  </si>
  <si>
    <t>Decide on JLL</t>
  </si>
  <si>
    <t>Liderar estrategia de ventas (funnel)</t>
  </si>
  <si>
    <t>Seguimiento tema mezzanines</t>
  </si>
  <si>
    <t>Llamada con accountants Arolla y CMS para cerrar tema VAT</t>
  </si>
  <si>
    <t>Pago de factura CMS para Golden Visa</t>
  </si>
  <si>
    <t>Cobrar a Jimena 350k</t>
  </si>
  <si>
    <t>Agendar reunión con Jimena y Manuela para alinearnos en forma de Trabajo</t>
  </si>
  <si>
    <t>Send E-Redes request to AROLLA</t>
  </si>
  <si>
    <t>Mini guide event + calendar</t>
  </si>
  <si>
    <t>Add color coding to documents for each group of adults</t>
  </si>
  <si>
    <t>Prepare summer poster</t>
  </si>
  <si>
    <t>Upload Forest Studio Spring photo album</t>
  </si>
  <si>
    <t>Follow up raíz Grandola</t>
  </si>
  <si>
    <t>Follow up on the summer programming</t>
  </si>
  <si>
    <t>Coordinate visit with Daan and others</t>
  </si>
  <si>
    <t>Visit Waldorf Emily</t>
  </si>
  <si>
    <t>Follow up Gabby and Sam</t>
  </si>
  <si>
    <t>Meeting with Leonie</t>
  </si>
  <si>
    <t>Ask Caterina for more local contacts</t>
  </si>
  <si>
    <t>Archived At</t>
  </si>
  <si>
    <t>TASK-0008</t>
  </si>
  <si>
    <t>Seguimiento Promissory agreement Sara</t>
  </si>
  <si>
    <t>TASK-0010</t>
  </si>
  <si>
    <t>Seguimiento Market study Loredana</t>
  </si>
  <si>
    <t>TASK-0012</t>
  </si>
  <si>
    <t>Comunicaciones con Project Manager (legal, administrativo) JS (construction) book next meeting</t>
  </si>
  <si>
    <t>TASK-0013</t>
  </si>
  <si>
    <t>Enviar imagen octopus que podamos imprimir para un póster A3</t>
  </si>
  <si>
    <t>TASK-0019</t>
  </si>
  <si>
    <t>Centralizar forma de trabajo con plataformas que optimicen la comunicación y entendimiento de todo el equipa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</si>
</sst>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rgb="FF000000"/>
      <name val="Carlito"/>
      <scheme val="minor"/>
    </font>
    <font>
      <b/>
      <sz val="11.0"/>
      <color rgb="FF111827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6.0"/>
      <color rgb="FFFFFFFF"/>
      <name val="Lato"/>
    </font>
    <font>
      <b/>
      <sz val="11.0"/>
      <color theme="1"/>
      <name val="Carlito"/>
    </font>
    <font>
      <sz val="11.0"/>
      <color rgb="FFFFFFFF"/>
      <name val="Carlito"/>
    </font>
    <font>
      <b/>
      <sz val="11.0"/>
      <color rgb="FFFFFFFF"/>
      <name val="Carlito"/>
    </font>
    <font/>
    <font>
      <b/>
      <sz val="11.0"/>
      <color rgb="FF000000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theme="4"/>
        <bgColor theme="4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  <fill>
      <patternFill patternType="solid">
        <fgColor rgb="FFCFE2F3"/>
        <bgColor rgb="FFCFE2F3"/>
      </patternFill>
    </fill>
    <fill>
      <patternFill patternType="solid">
        <fgColor rgb="FF2D4A2D"/>
        <bgColor rgb="FF2D4A2D"/>
      </patternFill>
    </fill>
    <fill>
      <patternFill patternType="solid">
        <fgColor rgb="FF1F2937"/>
        <bgColor rgb="FF1F2937"/>
      </patternFill>
    </fill>
    <fill>
      <patternFill patternType="solid">
        <fgColor rgb="FFCB8C2A"/>
        <bgColor rgb="FFCB8C2A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7" fontId="3" numFmtId="0" xfId="0" applyAlignment="1" applyFill="1" applyFont="1">
      <alignment horizontal="right" vertical="bottom"/>
    </xf>
    <xf borderId="0" fillId="8" fontId="6" numFmtId="0" xfId="0" applyAlignment="1" applyFill="1" applyFont="1">
      <alignment horizontal="right" vertical="bottom"/>
    </xf>
    <xf borderId="0" fillId="9" fontId="6" numFmtId="0" xfId="0" applyAlignment="1" applyFill="1" applyFont="1">
      <alignment horizontal="right" vertical="bottom"/>
    </xf>
    <xf borderId="0" fillId="10" fontId="6" numFmtId="0" xfId="0" applyAlignment="1" applyFill="1" applyFont="1">
      <alignment horizontal="right" readingOrder="0" vertical="bottom"/>
    </xf>
    <xf borderId="0" fillId="0" fontId="3" numFmtId="0" xfId="0" applyAlignment="1" applyFont="1">
      <alignment vertical="bottom"/>
    </xf>
    <xf borderId="1" fillId="6" fontId="7" numFmtId="0" xfId="0" applyAlignment="1" applyBorder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3" numFmtId="164" xfId="0" applyAlignment="1" applyBorder="1" applyFont="1" applyNumberForma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1" fillId="9" fontId="7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1" fillId="11" fontId="9" numFmtId="0" xfId="0" applyAlignment="1" applyBorder="1" applyFill="1" applyFon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12" fontId="2" numFmtId="0" xfId="0" applyAlignment="1" applyFill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>
        <strike/>
        <color rgb="FF6B7280"/>
      </font>
      <fill>
        <patternFill patternType="solid">
          <fgColor rgb="FFEAF3E6"/>
          <bgColor rgb="FFEAF3E6"/>
        </patternFill>
      </fill>
      <border/>
    </dxf>
  </dxfs>
  <tableStyles count="1">
    <tableStyle count="4" pivot="0" name="2_TAS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46" displayName="Tasks" name="Tasks" id="1">
  <tableColumns count="11">
    <tableColumn name="Task ID" id="1"/>
    <tableColumn name="Task" id="2"/>
    <tableColumn name="Owner" id="3"/>
    <tableColumn name="Area" id="4"/>
    <tableColumn name="Priority" id="5"/>
    <tableColumn name="Status" id="6"/>
    <tableColumn name="Due Date" id="7"/>
    <tableColumn name="Blocker" id="8"/>
    <tableColumn name="Next Action" id="9"/>
    <tableColumn name="Link" id="10"/>
    <tableColumn name="Notes" id="11"/>
  </tableColumns>
  <tableStyleInfo name="2_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0"/>
    <col customWidth="1" min="5" max="5" width="8.63"/>
    <col customWidth="1" min="6" max="6" width="60.0"/>
    <col customWidth="1" min="7" max="2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3" t="s">
        <v>5</v>
      </c>
      <c r="C2" s="4" t="s">
        <v>6</v>
      </c>
      <c r="D2" s="4" t="s">
        <v>7</v>
      </c>
      <c r="E2" s="4"/>
      <c r="F2" s="5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 t="s">
        <v>9</v>
      </c>
      <c r="B3" s="3" t="s">
        <v>10</v>
      </c>
      <c r="C3" s="4" t="s">
        <v>11</v>
      </c>
      <c r="D3" s="4" t="s">
        <v>12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 t="s">
        <v>17</v>
      </c>
      <c r="B5" s="4" t="s">
        <v>18</v>
      </c>
      <c r="C5" s="4" t="s">
        <v>19</v>
      </c>
      <c r="D5" s="4" t="s">
        <v>20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21</v>
      </c>
      <c r="B6" s="4" t="s">
        <v>22</v>
      </c>
      <c r="C6" s="4"/>
      <c r="D6" s="4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24</v>
      </c>
      <c r="B7" s="4" t="s">
        <v>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26</v>
      </c>
      <c r="B8" s="4" t="s">
        <v>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28</v>
      </c>
      <c r="B9" s="4" t="s">
        <v>29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 t="s">
        <v>30</v>
      </c>
      <c r="B10" s="4" t="s">
        <v>31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 t="s">
        <v>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3" t="s">
        <v>33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2.0"/>
    <col customWidth="1" min="3" max="3" width="28.13"/>
    <col customWidth="1" min="4" max="4" width="14.0"/>
    <col customWidth="1" min="5" max="5" width="16.0"/>
    <col customWidth="1" min="6" max="6" width="13.38"/>
    <col customWidth="1" min="7" max="7" width="12.0"/>
    <col customWidth="1" min="8" max="8" width="13.0"/>
    <col customWidth="1" min="9" max="9" width="32.0"/>
    <col customWidth="1" min="10" max="27" width="8.63"/>
  </cols>
  <sheetData>
    <row r="1">
      <c r="A1" s="6" t="s">
        <v>34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35</v>
      </c>
      <c r="B3" s="8" t="s">
        <v>5</v>
      </c>
      <c r="C3" s="4"/>
      <c r="D3" s="9" t="s">
        <v>36</v>
      </c>
      <c r="E3" s="10">
        <f>IFERROR(__xludf.DUMMYFUNCTION("IFERROR(ROWS(FILTER('2_TASKS'!A2:A251,'2_TASKS'!F2:F251&lt;&gt;""Done"",'2_TASKS'!G2:G251&lt;TODAY(),'2_TASKS'!G2:G251&lt;&gt;"""",((TRIM($B$3)=""ALL"")+('2_TASKS'!C2:C251=TRIM($B$3)))&gt;0,((TRIM($B$4)=""ALL"")+('2_TASKS'!D2:D251=TRIM($B$4)))&gt;0)),0)"),6.0)</f>
        <v>6</v>
      </c>
      <c r="F3" s="11" t="s">
        <v>16</v>
      </c>
      <c r="G3" s="10">
        <f>IFERROR(__xludf.DUMMYFUNCTION("IFERROR(ROWS(FILTER('2_TASKS'!A2:A251,'2_TASKS'!F2:F251=""Waiting"",(('2_TASKS'!G2:G251&gt;=TODAY())+('2_TASKS'!G2:G251=""""))&gt;0,((TRIM($B$3)=""ALL"")+('2_TASKS'!C2:C251=TRIM($B$3)))&gt;0,((TRIM($B$4)=""ALL"")+('2_TASKS'!D2:D251=TRIM($B$4)))&gt;0)),0)"),1.0)</f>
        <v>1</v>
      </c>
      <c r="H3" s="12" t="s">
        <v>37</v>
      </c>
      <c r="I3" s="10">
        <f>IFERROR(__xludf.DUMMYFUNCTION("IFERROR(ROWS(FILTER('2_TASKS'!A2:A251,'2_TASKS'!F2:F251&lt;&gt;""Done"",'2_TASKS'!F2:F251&lt;&gt;""Blocked"",'2_TASKS'!F2:F251&lt;&gt;""Waiting"",'2_TASKS'!G2:G251&gt;=TODAY(),'2_TASKS'!G2:G251&lt;=TODAY()+7,'2_TASKS'!G2:G251&lt;&gt;"""",((TRIM($B$3)=""ALL"")+('2_TASKS'!C2:C251=TRIM($"&amp;"B$3)))&gt;0,((TRIM($B$4)=""ALL"")+('2_TASKS'!D2:D251=TRIM($B$4)))&gt;0)),0)"),11.0)</f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38</v>
      </c>
      <c r="B4" s="8" t="s">
        <v>5</v>
      </c>
      <c r="C4" s="4"/>
      <c r="D4" s="13" t="s">
        <v>20</v>
      </c>
      <c r="E4" s="10">
        <f>IFERROR(__xludf.DUMMYFUNCTION("IFERROR(ROWS(FILTER('2_TASKS'!A2:A251,'2_TASKS'!F2:F251=""Blocked"",(('2_TASKS'!G2:G251&gt;=TODAY())+('2_TASKS'!G2:G251=""""))&gt;0,((TRIM($B$3)=""ALL"")+('2_TASKS'!C2:C251=TRIM($B$3)))&gt;0,((TRIM($B$4)=""ALL"")+('2_TASKS'!D2:D251=TRIM($B$4)))&gt;0)),0)"),1.0)</f>
        <v>1</v>
      </c>
      <c r="F4" s="14" t="s">
        <v>39</v>
      </c>
      <c r="G4" s="10">
        <f>IFERROR(__xludf.DUMMYFUNCTION("IFERROR(ROWS(FILTER('2_TASKS'!A2:A251,'2_TASKS'!F2:F251&lt;&gt;""Done"",'2_TASKS'!F2:F251&lt;&gt;""Blocked"",'2_TASKS'!F2:F251&lt;&gt;""Waiting"",REGEXMATCH('2_TASKS'!E2:E251,""^(Urgent|High)$""),(('2_TASKS'!G2:G251&gt;TODAY()+7)+('2_TASKS'!G2:G251=""""))&gt;0,((TRIM($B$3)=""ALL"&amp;""")+('2_TASKS'!C2:C251=TRIM($B$3)))&gt;0,((TRIM($B$4)=""ALL"")+('2_TASKS'!D2:D251=TRIM($B$4)))&gt;0)),0)"),0.0)</f>
        <v>0</v>
      </c>
      <c r="H4" s="15"/>
      <c r="I4" s="1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2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6" t="s">
        <v>40</v>
      </c>
      <c r="B6" s="17"/>
      <c r="C6" s="17"/>
      <c r="D6" s="17"/>
      <c r="E6" s="17"/>
      <c r="F6" s="17"/>
      <c r="G6" s="17"/>
      <c r="H6" s="17"/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9" t="s">
        <v>41</v>
      </c>
      <c r="B7" s="1" t="s">
        <v>42</v>
      </c>
      <c r="C7" s="1" t="s">
        <v>43</v>
      </c>
      <c r="D7" s="1" t="s">
        <v>35</v>
      </c>
      <c r="E7" s="1" t="s">
        <v>38</v>
      </c>
      <c r="F7" s="1" t="s">
        <v>44</v>
      </c>
      <c r="G7" s="1" t="s">
        <v>45</v>
      </c>
      <c r="H7" s="1" t="s">
        <v>46</v>
      </c>
      <c r="I7" s="20" t="s">
        <v>47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1" t="b">
        <v>0</v>
      </c>
      <c r="B8" s="22" t="str">
        <f>IFERROR(__xludf.DUMMYFUNCTION("IFERROR(ARRAY_CONSTRAIN(SORT(FILTER('2_TASKS'!A2:H251,'2_TASKS'!F2:F251&lt;&gt;""Done"",'2_TASKS'!G2:G251&lt;TODAY(),'2_TASKS'!G2:G251&lt;&gt;"""",IF($B$3=""ALL"",'2_TASKS'!C2:C251&lt;&gt;"""",'2_TASKS'!C2:C251=$B$3),IF($B$4=""ALL"",'2_TASKS'!D2:D251&lt;&gt;"""",'2_TASKS'!D2:D251=$"&amp;"B$4)),7,TRUE),5,8),"""")"),"TASK-0014")</f>
        <v>TASK-0014</v>
      </c>
      <c r="C8" s="5" t="str">
        <f>IFERROR(__xludf.DUMMYFUNCTION("""COMPUTED_VALUE"""),"Agendar reunión con Jimena y Manuela para alinearnos en forma de Trabajo")</f>
        <v>Agendar reunión con Jimena y Manuela para alinearnos en forma de Trabajo</v>
      </c>
      <c r="D8" s="5" t="str">
        <f>IFERROR(__xludf.DUMMYFUNCTION("""COMPUTED_VALUE"""),"Joaquin")</f>
        <v>Joaquin</v>
      </c>
      <c r="E8" s="5" t="str">
        <f>IFERROR(__xludf.DUMMYFUNCTION("""COMPUTED_VALUE"""),"Operations")</f>
        <v>Operations</v>
      </c>
      <c r="F8" s="5" t="str">
        <f>IFERROR(__xludf.DUMMYFUNCTION("""COMPUTED_VALUE"""),"Medium")</f>
        <v>Medium</v>
      </c>
      <c r="G8" s="5" t="str">
        <f>IFERROR(__xludf.DUMMYFUNCTION("""COMPUTED_VALUE"""),"To Do")</f>
        <v>To Do</v>
      </c>
      <c r="H8" s="23">
        <f>IFERROR(__xludf.DUMMYFUNCTION("""COMPUTED_VALUE"""),46153.0)</f>
        <v>46153</v>
      </c>
      <c r="I8" s="2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5" t="b">
        <v>0</v>
      </c>
      <c r="B9" s="22" t="str">
        <f>IFERROR(__xludf.DUMMYFUNCTION("""COMPUTED_VALUE"""),"TASK-0012")</f>
        <v>TASK-0012</v>
      </c>
      <c r="C9" s="5" t="str">
        <f>IFERROR(__xludf.DUMMYFUNCTION("""COMPUTED_VALUE"""),"Pago de factura CMS para Golden Visa")</f>
        <v>Pago de factura CMS para Golden Visa</v>
      </c>
      <c r="D9" s="5" t="str">
        <f>IFERROR(__xludf.DUMMYFUNCTION("""COMPUTED_VALUE"""),"Joaquin")</f>
        <v>Joaquin</v>
      </c>
      <c r="E9" s="5" t="str">
        <f>IFERROR(__xludf.DUMMYFUNCTION("""COMPUTED_VALUE"""),"Admin")</f>
        <v>Admin</v>
      </c>
      <c r="F9" s="5" t="str">
        <f>IFERROR(__xludf.DUMMYFUNCTION("""COMPUTED_VALUE"""),"Medium")</f>
        <v>Medium</v>
      </c>
      <c r="G9" s="5" t="str">
        <f>IFERROR(__xludf.DUMMYFUNCTION("""COMPUTED_VALUE"""),"To Do")</f>
        <v>To Do</v>
      </c>
      <c r="H9" s="23">
        <f>IFERROR(__xludf.DUMMYFUNCTION("""COMPUTED_VALUE"""),46171.0)</f>
        <v>46171</v>
      </c>
      <c r="I9" s="2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5" t="b">
        <v>0</v>
      </c>
      <c r="B10" s="22" t="str">
        <f>IFERROR(__xludf.DUMMYFUNCTION("""COMPUTED_VALUE"""),"TASK-0003")</f>
        <v>TASK-0003</v>
      </c>
      <c r="C10" s="5" t="str">
        <f>IFERROR(__xludf.DUMMYFUNCTION("""COMPUTED_VALUE"""),"Mercadeo cultural")</f>
        <v>Mercadeo cultural</v>
      </c>
      <c r="D10" s="5" t="str">
        <f>IFERROR(__xludf.DUMMYFUNCTION("""COMPUTED_VALUE"""),"Joaquin")</f>
        <v>Joaquin</v>
      </c>
      <c r="E10" s="5" t="str">
        <f>IFERROR(__xludf.DUMMYFUNCTION("""COMPUTED_VALUE"""),"Marketing")</f>
        <v>Marketing</v>
      </c>
      <c r="F10" s="5" t="str">
        <f>IFERROR(__xludf.DUMMYFUNCTION("""COMPUTED_VALUE"""),"Medium")</f>
        <v>Medium</v>
      </c>
      <c r="G10" s="5" t="str">
        <f>IFERROR(__xludf.DUMMYFUNCTION("""COMPUTED_VALUE"""),"To Do")</f>
        <v>To Do</v>
      </c>
      <c r="H10" s="23">
        <f>IFERROR(__xludf.DUMMYFUNCTION("""COMPUTED_VALUE"""),46174.0)</f>
        <v>46174</v>
      </c>
      <c r="I10" s="2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5" t="b">
        <v>0</v>
      </c>
      <c r="B11" s="22" t="str">
        <f>IFERROR(__xludf.DUMMYFUNCTION("""COMPUTED_VALUE"""),"TASK-0005")</f>
        <v>TASK-0005</v>
      </c>
      <c r="C11" s="5" t="str">
        <f>IFERROR(__xludf.DUMMYFUNCTION("""COMPUTED_VALUE"""),"Creación 5 pager realtors")</f>
        <v>Creación 5 pager realtors</v>
      </c>
      <c r="D11" s="5" t="str">
        <f>IFERROR(__xludf.DUMMYFUNCTION("""COMPUTED_VALUE"""),"Joaquin")</f>
        <v>Joaquin</v>
      </c>
      <c r="E11" s="5" t="str">
        <f>IFERROR(__xludf.DUMMYFUNCTION("""COMPUTED_VALUE"""),"Marketing")</f>
        <v>Marketing</v>
      </c>
      <c r="F11" s="5" t="str">
        <f>IFERROR(__xludf.DUMMYFUNCTION("""COMPUTED_VALUE"""),"Medium")</f>
        <v>Medium</v>
      </c>
      <c r="G11" s="5" t="str">
        <f>IFERROR(__xludf.DUMMYFUNCTION("""COMPUTED_VALUE"""),"To Do")</f>
        <v>To Do</v>
      </c>
      <c r="H11" s="23">
        <f>IFERROR(__xludf.DUMMYFUNCTION("""COMPUTED_VALUE"""),46174.0)</f>
        <v>46174</v>
      </c>
      <c r="I11" s="2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6" t="b">
        <v>0</v>
      </c>
      <c r="B12" s="27" t="str">
        <f>IFERROR(__xludf.DUMMYFUNCTION("""COMPUTED_VALUE"""),"TASK-0011")</f>
        <v>TASK-0011</v>
      </c>
      <c r="C12" s="28" t="str">
        <f>IFERROR(__xludf.DUMMYFUNCTION("""COMPUTED_VALUE"""),"Llamada con accountants Arolla y CMS para cerrar tema VAT")</f>
        <v>Llamada con accountants Arolla y CMS para cerrar tema VAT</v>
      </c>
      <c r="D12" s="28" t="str">
        <f>IFERROR(__xludf.DUMMYFUNCTION("""COMPUTED_VALUE"""),"Joaquin")</f>
        <v>Joaquin</v>
      </c>
      <c r="E12" s="28" t="str">
        <f>IFERROR(__xludf.DUMMYFUNCTION("""COMPUTED_VALUE"""),"Admin")</f>
        <v>Admin</v>
      </c>
      <c r="F12" s="28" t="str">
        <f>IFERROR(__xludf.DUMMYFUNCTION("""COMPUTED_VALUE"""),"Medium")</f>
        <v>Medium</v>
      </c>
      <c r="G12" s="28" t="str">
        <f>IFERROR(__xludf.DUMMYFUNCTION("""COMPUTED_VALUE"""),"Doing")</f>
        <v>Doing</v>
      </c>
      <c r="H12" s="29">
        <f>IFERROR(__xludf.DUMMYFUNCTION("""COMPUTED_VALUE"""),46174.0)</f>
        <v>46174</v>
      </c>
      <c r="I12" s="3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2"/>
      <c r="B13" s="22"/>
      <c r="C13" s="5"/>
      <c r="D13" s="5"/>
      <c r="E13" s="5"/>
      <c r="F13" s="5"/>
      <c r="G13" s="5"/>
      <c r="H13" s="23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31" t="s">
        <v>48</v>
      </c>
      <c r="B14" s="17"/>
      <c r="C14" s="17"/>
      <c r="D14" s="17"/>
      <c r="E14" s="17"/>
      <c r="F14" s="17"/>
      <c r="G14" s="17"/>
      <c r="H14" s="17"/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9" t="s">
        <v>41</v>
      </c>
      <c r="B15" s="1" t="s">
        <v>42</v>
      </c>
      <c r="C15" s="1" t="s">
        <v>43</v>
      </c>
      <c r="D15" s="1" t="s">
        <v>35</v>
      </c>
      <c r="E15" s="1" t="s">
        <v>38</v>
      </c>
      <c r="F15" s="1" t="s">
        <v>44</v>
      </c>
      <c r="G15" s="1" t="s">
        <v>45</v>
      </c>
      <c r="H15" s="1" t="s">
        <v>46</v>
      </c>
      <c r="I15" s="20" t="s">
        <v>47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21" t="b">
        <v>0</v>
      </c>
      <c r="B16" s="22" t="str">
        <f>IFERROR(__xludf.DUMMYFUNCTION("IFERROR(ARRAY_CONSTRAIN(SORT(FILTER('2_TASKS'!A2:H251,'2_TASKS'!F2:F251=""Blocked"",(('2_TASKS'!G2:G251&gt;=TODAY())+('2_TASKS'!G2:G251=""""))&gt;0,IF($B$3=""ALL"",'2_TASKS'!C2:C251&lt;&gt;"""",'2_TASKS'!C2:C251=$B$3),IF($B$4=""ALL"",'2_TASKS'!D2:D251&lt;&gt;"""",'2_TASKS'"&amp;"!D2:D251=$B$4)),7,TRUE),5,8),"""")"),"TASK-0008")</f>
        <v>TASK-0008</v>
      </c>
      <c r="C16" s="5" t="str">
        <f>IFERROR(__xludf.DUMMYFUNCTION("""COMPUTED_VALUE"""),"Sacar Licencia AMI CMS")</f>
        <v>Sacar Licencia AMI CMS</v>
      </c>
      <c r="D16" s="5" t="str">
        <f>IFERROR(__xludf.DUMMYFUNCTION("""COMPUTED_VALUE"""),"Joaquin")</f>
        <v>Joaquin</v>
      </c>
      <c r="E16" s="5" t="str">
        <f>IFERROR(__xludf.DUMMYFUNCTION("""COMPUTED_VALUE"""),"Legal")</f>
        <v>Legal</v>
      </c>
      <c r="F16" s="5" t="str">
        <f>IFERROR(__xludf.DUMMYFUNCTION("""COMPUTED_VALUE"""),"Medium")</f>
        <v>Medium</v>
      </c>
      <c r="G16" s="5" t="str">
        <f>IFERROR(__xludf.DUMMYFUNCTION("""COMPUTED_VALUE"""),"Blocked")</f>
        <v>Blocked</v>
      </c>
      <c r="H16" s="23"/>
      <c r="I16" s="24" t="str">
        <f>IFERROR(__xludf.DUMMYFUNCTION("""COMPUTED_VALUE"""),"Waiting for sales strategy")</f>
        <v>Waiting for sales strategy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21" t="b">
        <v>0</v>
      </c>
      <c r="B17" s="22"/>
      <c r="C17" s="5"/>
      <c r="D17" s="5"/>
      <c r="E17" s="5"/>
      <c r="F17" s="5"/>
      <c r="G17" s="5"/>
      <c r="H17" s="23"/>
      <c r="I17" s="2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21" t="b">
        <v>0</v>
      </c>
      <c r="B18" s="22"/>
      <c r="C18" s="5"/>
      <c r="D18" s="5"/>
      <c r="E18" s="5"/>
      <c r="F18" s="5"/>
      <c r="G18" s="5"/>
      <c r="H18" s="23"/>
      <c r="I18" s="2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21" t="b">
        <v>0</v>
      </c>
      <c r="B19" s="22"/>
      <c r="C19" s="5"/>
      <c r="D19" s="5"/>
      <c r="E19" s="5"/>
      <c r="F19" s="5"/>
      <c r="G19" s="5"/>
      <c r="H19" s="23"/>
      <c r="I19" s="2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32" t="b">
        <v>0</v>
      </c>
      <c r="B20" s="27"/>
      <c r="C20" s="28"/>
      <c r="D20" s="28"/>
      <c r="E20" s="28"/>
      <c r="F20" s="28"/>
      <c r="G20" s="28"/>
      <c r="H20" s="29"/>
      <c r="I20" s="3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2"/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33" t="s">
        <v>49</v>
      </c>
      <c r="B22" s="17"/>
      <c r="C22" s="17"/>
      <c r="D22" s="17"/>
      <c r="E22" s="17"/>
      <c r="F22" s="17"/>
      <c r="G22" s="17"/>
      <c r="H22" s="17"/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9" t="s">
        <v>41</v>
      </c>
      <c r="B23" s="1" t="s">
        <v>42</v>
      </c>
      <c r="C23" s="1" t="s">
        <v>43</v>
      </c>
      <c r="D23" s="1" t="s">
        <v>35</v>
      </c>
      <c r="E23" s="1" t="s">
        <v>38</v>
      </c>
      <c r="F23" s="1" t="s">
        <v>44</v>
      </c>
      <c r="G23" s="1" t="s">
        <v>45</v>
      </c>
      <c r="H23" s="1" t="s">
        <v>46</v>
      </c>
      <c r="I23" s="20" t="s">
        <v>47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21" t="b">
        <v>0</v>
      </c>
      <c r="B24" s="22" t="str">
        <f>IFERROR(__xludf.DUMMYFUNCTION("IFERROR(ARRAY_CONSTRAIN(SORT(FILTER('2_TASKS'!A2:H251,'2_TASKS'!F2:F251=""Waiting"",(('2_TASKS'!G2:G251&gt;=TODAY())+('2_TASKS'!G2:G251=""""))&gt;0,IF($B$3=""ALL"",'2_TASKS'!C2:C251&lt;&gt;"""",'2_TASKS'!C2:C251=$B$3),IF($B$4=""ALL"",'2_TASKS'!D2:D251&lt;&gt;"""",'2_TASKS'"&amp;"!D2:D251=$B$4)),7,TRUE),5,8),"""")"),"TASK-0010")</f>
        <v>TASK-0010</v>
      </c>
      <c r="C24" s="5" t="str">
        <f>IFERROR(__xludf.DUMMYFUNCTION("""COMPUTED_VALUE"""),"Seguimiento tema mezzanines")</f>
        <v>Seguimiento tema mezzanines</v>
      </c>
      <c r="D24" s="5" t="str">
        <f>IFERROR(__xludf.DUMMYFUNCTION("""COMPUTED_VALUE"""),"Jimena")</f>
        <v>Jimena</v>
      </c>
      <c r="E24" s="5" t="str">
        <f>IFERROR(__xludf.DUMMYFUNCTION("""COMPUTED_VALUE"""),"Construction")</f>
        <v>Construction</v>
      </c>
      <c r="F24" s="5" t="str">
        <f>IFERROR(__xludf.DUMMYFUNCTION("""COMPUTED_VALUE"""),"Urgent")</f>
        <v>Urgent</v>
      </c>
      <c r="G24" s="5" t="str">
        <f>IFERROR(__xludf.DUMMYFUNCTION("""COMPUTED_VALUE"""),"Waiting")</f>
        <v>Waiting</v>
      </c>
      <c r="H24" s="23"/>
      <c r="I24" s="2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21" t="b">
        <v>0</v>
      </c>
      <c r="B25" s="22"/>
      <c r="C25" s="5"/>
      <c r="D25" s="5"/>
      <c r="E25" s="5"/>
      <c r="F25" s="5"/>
      <c r="G25" s="5"/>
      <c r="H25" s="23"/>
      <c r="I25" s="2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21" t="b">
        <v>0</v>
      </c>
      <c r="B26" s="22"/>
      <c r="C26" s="5"/>
      <c r="D26" s="5"/>
      <c r="E26" s="5"/>
      <c r="F26" s="5"/>
      <c r="G26" s="5"/>
      <c r="H26" s="23"/>
      <c r="I26" s="2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21" t="b">
        <v>0</v>
      </c>
      <c r="B27" s="22"/>
      <c r="C27" s="5"/>
      <c r="D27" s="5"/>
      <c r="E27" s="5"/>
      <c r="F27" s="5"/>
      <c r="G27" s="5"/>
      <c r="H27" s="23"/>
      <c r="I27" s="2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32" t="b">
        <v>0</v>
      </c>
      <c r="B28" s="27"/>
      <c r="C28" s="28"/>
      <c r="D28" s="28"/>
      <c r="E28" s="28"/>
      <c r="F28" s="28"/>
      <c r="G28" s="28"/>
      <c r="H28" s="29"/>
      <c r="I28" s="3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2"/>
      <c r="B29" s="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34" t="s">
        <v>50</v>
      </c>
      <c r="B31" s="17"/>
      <c r="C31" s="17"/>
      <c r="D31" s="17"/>
      <c r="E31" s="17"/>
      <c r="F31" s="17"/>
      <c r="G31" s="17"/>
      <c r="H31" s="17"/>
      <c r="I31" s="1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9" t="s">
        <v>41</v>
      </c>
      <c r="B32" s="1" t="s">
        <v>42</v>
      </c>
      <c r="C32" s="1" t="s">
        <v>43</v>
      </c>
      <c r="D32" s="1" t="s">
        <v>35</v>
      </c>
      <c r="E32" s="1" t="s">
        <v>38</v>
      </c>
      <c r="F32" s="1" t="s">
        <v>44</v>
      </c>
      <c r="G32" s="1" t="s">
        <v>45</v>
      </c>
      <c r="H32" s="1" t="s">
        <v>46</v>
      </c>
      <c r="I32" s="20" t="s">
        <v>47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1" t="b">
        <v>0</v>
      </c>
      <c r="B33" s="22" t="str">
        <f>IFERROR(__xludf.DUMMYFUNCTION("IFERROR(ARRAY_CONSTRAIN(SORT(FILTER('2_TASKS'!A2:H251,'2_TASKS'!F2:F251&lt;&gt;""Done"",'2_TASKS'!F2:F251&lt;&gt;""Blocked"",'2_TASKS'!F2:F251&lt;&gt;""Waiting"",'2_TASKS'!G2:G251&gt;=TODAY(),'2_TASKS'!G2:G251&lt;=TODAY()+7,'2_TASKS'!G2:G251&lt;&gt;"""",IF($B$3=""ALL"",'2_TASKS'!C2:C2"&amp;"51&lt;&gt;"""",'2_TASKS'!C2:C251=$B$3),IF($B$4=""ALL"",'2_TASKS'!D2:D251&lt;&gt;"""",'2_TASKS'!D2:D251=$B$4)),7,TRUE),5,8),"""")"),"TASK-0016")</f>
        <v>TASK-0016</v>
      </c>
      <c r="C33" s="5" t="str">
        <f>IFERROR(__xludf.DUMMYFUNCTION("""COMPUTED_VALUE"""),"Mini guide event + calendar")</f>
        <v>Mini guide event + calendar</v>
      </c>
      <c r="D33" s="5" t="str">
        <f>IFERROR(__xludf.DUMMYFUNCTION("""COMPUTED_VALUE"""),"Marina")</f>
        <v>Marina</v>
      </c>
      <c r="E33" s="5" t="str">
        <f>IFERROR(__xludf.DUMMYFUNCTION("""COMPUTED_VALUE"""),"Forest Studio")</f>
        <v>Forest Studio</v>
      </c>
      <c r="F33" s="5" t="str">
        <f>IFERROR(__xludf.DUMMYFUNCTION("""COMPUTED_VALUE"""),"Medium")</f>
        <v>Medium</v>
      </c>
      <c r="G33" s="5" t="str">
        <f>IFERROR(__xludf.DUMMYFUNCTION("""COMPUTED_VALUE"""),"To Do")</f>
        <v>To Do</v>
      </c>
      <c r="H33" s="23">
        <f>IFERROR(__xludf.DUMMYFUNCTION("""COMPUTED_VALUE"""),46178.0)</f>
        <v>46178</v>
      </c>
      <c r="I33" s="2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1" t="b">
        <v>0</v>
      </c>
      <c r="B34" s="22" t="str">
        <f>IFERROR(__xludf.DUMMYFUNCTION("""COMPUTED_VALUE"""),"TASK-0017")</f>
        <v>TASK-0017</v>
      </c>
      <c r="C34" s="5" t="str">
        <f>IFERROR(__xludf.DUMMYFUNCTION("""COMPUTED_VALUE"""),"Add color coding to documents for each group of adults")</f>
        <v>Add color coding to documents for each group of adults</v>
      </c>
      <c r="D34" s="5" t="str">
        <f>IFERROR(__xludf.DUMMYFUNCTION("""COMPUTED_VALUE"""),"Marina")</f>
        <v>Marina</v>
      </c>
      <c r="E34" s="5" t="str">
        <f>IFERROR(__xludf.DUMMYFUNCTION("""COMPUTED_VALUE"""),"Forest Studio")</f>
        <v>Forest Studio</v>
      </c>
      <c r="F34" s="5" t="str">
        <f>IFERROR(__xludf.DUMMYFUNCTION("""COMPUTED_VALUE"""),"Medium")</f>
        <v>Medium</v>
      </c>
      <c r="G34" s="5" t="str">
        <f>IFERROR(__xludf.DUMMYFUNCTION("""COMPUTED_VALUE"""),"To Do")</f>
        <v>To Do</v>
      </c>
      <c r="H34" s="23">
        <f>IFERROR(__xludf.DUMMYFUNCTION("""COMPUTED_VALUE"""),46178.0)</f>
        <v>46178</v>
      </c>
      <c r="I34" s="2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1" t="b">
        <v>0</v>
      </c>
      <c r="B35" s="22" t="str">
        <f>IFERROR(__xludf.DUMMYFUNCTION("""COMPUTED_VALUE"""),"TASK-0018")</f>
        <v>TASK-0018</v>
      </c>
      <c r="C35" s="5" t="str">
        <f>IFERROR(__xludf.DUMMYFUNCTION("""COMPUTED_VALUE"""),"Prepare summer poster")</f>
        <v>Prepare summer poster</v>
      </c>
      <c r="D35" s="5" t="str">
        <f>IFERROR(__xludf.DUMMYFUNCTION("""COMPUTED_VALUE"""),"Marina")</f>
        <v>Marina</v>
      </c>
      <c r="E35" s="5" t="str">
        <f>IFERROR(__xludf.DUMMYFUNCTION("""COMPUTED_VALUE"""),"Forest Studio")</f>
        <v>Forest Studio</v>
      </c>
      <c r="F35" s="5" t="str">
        <f>IFERROR(__xludf.DUMMYFUNCTION("""COMPUTED_VALUE"""),"Medium")</f>
        <v>Medium</v>
      </c>
      <c r="G35" s="5" t="str">
        <f>IFERROR(__xludf.DUMMYFUNCTION("""COMPUTED_VALUE"""),"To Do")</f>
        <v>To Do</v>
      </c>
      <c r="H35" s="23">
        <f>IFERROR(__xludf.DUMMYFUNCTION("""COMPUTED_VALUE"""),46178.0)</f>
        <v>46178</v>
      </c>
      <c r="I35" s="2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1" t="b">
        <v>0</v>
      </c>
      <c r="B36" s="22" t="str">
        <f>IFERROR(__xludf.DUMMYFUNCTION("""COMPUTED_VALUE"""),"TASK-0019")</f>
        <v>TASK-0019</v>
      </c>
      <c r="C36" s="5" t="str">
        <f>IFERROR(__xludf.DUMMYFUNCTION("""COMPUTED_VALUE"""),"Upload Forest Studio Spring photo album")</f>
        <v>Upload Forest Studio Spring photo album</v>
      </c>
      <c r="D36" s="5" t="str">
        <f>IFERROR(__xludf.DUMMYFUNCTION("""COMPUTED_VALUE"""),"Mafalda")</f>
        <v>Mafalda</v>
      </c>
      <c r="E36" s="5" t="str">
        <f>IFERROR(__xludf.DUMMYFUNCTION("""COMPUTED_VALUE"""),"Forest Studio")</f>
        <v>Forest Studio</v>
      </c>
      <c r="F36" s="5" t="str">
        <f>IFERROR(__xludf.DUMMYFUNCTION("""COMPUTED_VALUE"""),"Medium")</f>
        <v>Medium</v>
      </c>
      <c r="G36" s="5" t="str">
        <f>IFERROR(__xludf.DUMMYFUNCTION("""COMPUTED_VALUE"""),"To Do")</f>
        <v>To Do</v>
      </c>
      <c r="H36" s="23">
        <f>IFERROR(__xludf.DUMMYFUNCTION("""COMPUTED_VALUE"""),46178.0)</f>
        <v>46178</v>
      </c>
      <c r="I36" s="2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32" t="b">
        <v>0</v>
      </c>
      <c r="B37" s="27" t="str">
        <f>IFERROR(__xludf.DUMMYFUNCTION("""COMPUTED_VALUE"""),"TASK-0020")</f>
        <v>TASK-0020</v>
      </c>
      <c r="C37" s="28" t="str">
        <f>IFERROR(__xludf.DUMMYFUNCTION("""COMPUTED_VALUE"""),"Follow up raíz Grandola")</f>
        <v>Follow up raíz Grandola</v>
      </c>
      <c r="D37" s="28" t="str">
        <f>IFERROR(__xludf.DUMMYFUNCTION("""COMPUTED_VALUE"""),"Jimena")</f>
        <v>Jimena</v>
      </c>
      <c r="E37" s="28" t="str">
        <f>IFERROR(__xludf.DUMMYFUNCTION("""COMPUTED_VALUE"""),"Network")</f>
        <v>Network</v>
      </c>
      <c r="F37" s="28" t="str">
        <f>IFERROR(__xludf.DUMMYFUNCTION("""COMPUTED_VALUE"""),"Medium")</f>
        <v>Medium</v>
      </c>
      <c r="G37" s="28" t="str">
        <f>IFERROR(__xludf.DUMMYFUNCTION("""COMPUTED_VALUE"""),"To Do")</f>
        <v>To Do</v>
      </c>
      <c r="H37" s="29">
        <f>IFERROR(__xludf.DUMMYFUNCTION("""COMPUTED_VALUE"""),46178.0)</f>
        <v>46178</v>
      </c>
      <c r="I37" s="3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2"/>
      <c r="B38" s="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35" t="s">
        <v>51</v>
      </c>
      <c r="B39" s="17"/>
      <c r="C39" s="17"/>
      <c r="D39" s="17"/>
      <c r="E39" s="17"/>
      <c r="F39" s="17"/>
      <c r="G39" s="17"/>
      <c r="H39" s="17"/>
      <c r="I39" s="1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19" t="s">
        <v>41</v>
      </c>
      <c r="B40" s="1" t="s">
        <v>42</v>
      </c>
      <c r="C40" s="1" t="s">
        <v>43</v>
      </c>
      <c r="D40" s="1" t="s">
        <v>35</v>
      </c>
      <c r="E40" s="1" t="s">
        <v>38</v>
      </c>
      <c r="F40" s="1" t="s">
        <v>44</v>
      </c>
      <c r="G40" s="1" t="s">
        <v>45</v>
      </c>
      <c r="H40" s="1" t="s">
        <v>46</v>
      </c>
      <c r="I40" s="20" t="s">
        <v>47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21" t="b">
        <v>0</v>
      </c>
      <c r="B41" s="22" t="str">
        <f>IFERROR(__xludf.DUMMYFUNCTION("IFERROR(ARRAY_CONSTRAIN(SORT(FILTER('2_TASKS'!A2:H251,'2_TASKS'!F2:F251&lt;&gt;""Done"",'2_TASKS'!F2:F251&lt;&gt;""Blocked"",'2_TASKS'!F2:F251&lt;&gt;""Waiting"",REGEXMATCH('2_TASKS'!E2:E251,""^(Urgent|High)$""),(('2_TASKS'!G2:G251&gt;TODAY()+7)+('2_TASKS'!G2:G251=""""))&gt;0,IF"&amp;"($B$3=""ALL"",'2_TASKS'!C2:C251&lt;&gt;"""",'2_TASKS'!C2:C251=$B$3),IF($B$4=""ALL"",'2_TASKS'!D2:D251&lt;&gt;"""",'2_TASKS'!D2:D251=$B$4)),7,TRUE),5,8),"""")"),"")</f>
        <v/>
      </c>
      <c r="C41" s="5"/>
      <c r="D41" s="5"/>
      <c r="E41" s="5"/>
      <c r="F41" s="5"/>
      <c r="G41" s="5"/>
      <c r="H41" s="23"/>
      <c r="I41" s="2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21" t="b">
        <v>0</v>
      </c>
      <c r="B42" s="22"/>
      <c r="C42" s="5"/>
      <c r="D42" s="5"/>
      <c r="E42" s="5"/>
      <c r="F42" s="5"/>
      <c r="G42" s="5"/>
      <c r="H42" s="23"/>
      <c r="I42" s="2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21" t="b">
        <v>0</v>
      </c>
      <c r="B43" s="22"/>
      <c r="C43" s="5"/>
      <c r="D43" s="5"/>
      <c r="E43" s="5"/>
      <c r="F43" s="5"/>
      <c r="G43" s="5"/>
      <c r="H43" s="23"/>
      <c r="I43" s="2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21" t="b">
        <v>0</v>
      </c>
      <c r="B44" s="22"/>
      <c r="C44" s="5"/>
      <c r="D44" s="5"/>
      <c r="E44" s="5"/>
      <c r="F44" s="5"/>
      <c r="G44" s="5"/>
      <c r="H44" s="23"/>
      <c r="I44" s="2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32" t="b">
        <v>0</v>
      </c>
      <c r="B45" s="27"/>
      <c r="C45" s="28"/>
      <c r="D45" s="28"/>
      <c r="E45" s="28"/>
      <c r="F45" s="28"/>
      <c r="G45" s="28"/>
      <c r="H45" s="29"/>
      <c r="I45" s="3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2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2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2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2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2"/>
      <c r="B50" s="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2"/>
      <c r="B51" s="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2"/>
      <c r="B52" s="2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2"/>
      <c r="B54" s="2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2"/>
      <c r="B55" s="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2"/>
      <c r="B56" s="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2"/>
      <c r="B57" s="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2"/>
      <c r="B58" s="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2"/>
      <c r="B59" s="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2"/>
      <c r="B60" s="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2"/>
      <c r="B61" s="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2"/>
      <c r="B62" s="2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2"/>
      <c r="B63" s="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2"/>
      <c r="B64" s="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2"/>
      <c r="B65" s="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2"/>
      <c r="B66" s="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2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2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2"/>
      <c r="B69" s="2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2"/>
      <c r="B70" s="2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2"/>
      <c r="B71" s="2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2"/>
      <c r="B72" s="2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2"/>
      <c r="B73" s="2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2"/>
      <c r="B74" s="2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2"/>
      <c r="B75" s="2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2"/>
      <c r="B76" s="2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2"/>
      <c r="B77" s="2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2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2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2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2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2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2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2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2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2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2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2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2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2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2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2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2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2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2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2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2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2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2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2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2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2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2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2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2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2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2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2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2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2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2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2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2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2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2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2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2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2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2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2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2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2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2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2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2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2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2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2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2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2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2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2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2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2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2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2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2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2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2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2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2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2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2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2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2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2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2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2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2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2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2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2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2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2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2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2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2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2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2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2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2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2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2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2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2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2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2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2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2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2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2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2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2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2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2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2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2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2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2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2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2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2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2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2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2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2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2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2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2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2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2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2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2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2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2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2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2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2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2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2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2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2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2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2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2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2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2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2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2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2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2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2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2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2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2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2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2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2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2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2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2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2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2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2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2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2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2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2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2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2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2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2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2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2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2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2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2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2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2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2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2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2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2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2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2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2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2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2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2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2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2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2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2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2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2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2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2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2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2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2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2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2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2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2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2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2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2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2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2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2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2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2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2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2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2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2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2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2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2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2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2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2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2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2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2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2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2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2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2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2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2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2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2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2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2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2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2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2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2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2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2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2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2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2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2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2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2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2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2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2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2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2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2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2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2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2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2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2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2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2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2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2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2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2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2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2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2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2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2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2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2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2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2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2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2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2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2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2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2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2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2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2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2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2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2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2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2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2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2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2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2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2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2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2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2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2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2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2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2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2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2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2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2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2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2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2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2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2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2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2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2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2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2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2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2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2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2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2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2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2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2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2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2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2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2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2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2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2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2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2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2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2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2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2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2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2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2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2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2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2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2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2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2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2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2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2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2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2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2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2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2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2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2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2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2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2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2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2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2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2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2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2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2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2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2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2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2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2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2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2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2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2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2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2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2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2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2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2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2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2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2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2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2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2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2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2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2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2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2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2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2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2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2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2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2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2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2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2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2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2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2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2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2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2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2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2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2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2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2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2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2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2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2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2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2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2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2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2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2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2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2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2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2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2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2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2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2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2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2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2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2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2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2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2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2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2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2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2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2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2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2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2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2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2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2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2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2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2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2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2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2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2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2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2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2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2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2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2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2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2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2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2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2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2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2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2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2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2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2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2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2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2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2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2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2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2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2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2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2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2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2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2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2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2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2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2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2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2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2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2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2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2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2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2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2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2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2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2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2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2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2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2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2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2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2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2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2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2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2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2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2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2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2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2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2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2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2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2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2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2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2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2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2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2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2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2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2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2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2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2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2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2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2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2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2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2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2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2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2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2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2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2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2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2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2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2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2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2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2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2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2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2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2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2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2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2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2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2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2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2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2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2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2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2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2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2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2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2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2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2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2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2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2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2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2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2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2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2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2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2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2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2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2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2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2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2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2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2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2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2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2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2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2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2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2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2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2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2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2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2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2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2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2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2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2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2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2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2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2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2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2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2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2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2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2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2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2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2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2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2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2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2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2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2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2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2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2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2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2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2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2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2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2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2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2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2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2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2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2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2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2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2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2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2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2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2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2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2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2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2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2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2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2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2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2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2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2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2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2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2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2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2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2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2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2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2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2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2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2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2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2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2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2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2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2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2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2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2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2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2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2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2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2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2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2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2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2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2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2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2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2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2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2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2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2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2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2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2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2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2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2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2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2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2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2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2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2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2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2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2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2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2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2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2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2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2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2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2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2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2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2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2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2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2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2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2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2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2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2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2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2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2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2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2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2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2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2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2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2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2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2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2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2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2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2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2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2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2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2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2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2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2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2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2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2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2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2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2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2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2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2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2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2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2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2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2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2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2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2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2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2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2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2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2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2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2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2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2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2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2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2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2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2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2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2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2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2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2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2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2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2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2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2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2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2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2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2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2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2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2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2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2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2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2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2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2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2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2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2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2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2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2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2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2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2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2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2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2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2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2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2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2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2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2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2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2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2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2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2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2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2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2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2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2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2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2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2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2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2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2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2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2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2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2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2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2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2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2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2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2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2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2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2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2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2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2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2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2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2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2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2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2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2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2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2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2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2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2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2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2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2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2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2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2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2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2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2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2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2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2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2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2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2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2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2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2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2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2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2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2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2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2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2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2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2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2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2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2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2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2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2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2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2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2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2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2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2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2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2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2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2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2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2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2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2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2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2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2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2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2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2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2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2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2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2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2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2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2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6">
    <mergeCell ref="A1:I1"/>
    <mergeCell ref="A6:I6"/>
    <mergeCell ref="A14:I14"/>
    <mergeCell ref="A22:I22"/>
    <mergeCell ref="A31:I31"/>
    <mergeCell ref="A39:I39"/>
  </mergeCells>
  <dataValidations>
    <dataValidation type="list" allowBlank="1" sqref="B4">
      <formula1>Task_Areas</formula1>
    </dataValidation>
    <dataValidation type="list" allowBlank="1" sqref="B3">
      <formula1>Task_Owners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0.13"/>
    <col customWidth="1" min="3" max="3" width="14.0"/>
    <col customWidth="1" min="4" max="4" width="16.0"/>
    <col customWidth="1" min="5" max="6" width="12.0"/>
    <col customWidth="1" min="7" max="7" width="13.0"/>
    <col customWidth="1" min="8" max="8" width="28.0"/>
    <col customWidth="1" min="9" max="9" width="32.0"/>
    <col customWidth="1" min="10" max="10" width="28.0"/>
    <col customWidth="1" min="11" max="11" width="38.0"/>
    <col customWidth="1" min="12" max="26" width="8.63"/>
  </cols>
  <sheetData>
    <row r="1" ht="22.5" customHeight="1">
      <c r="A1" s="36" t="s">
        <v>42</v>
      </c>
      <c r="B1" s="36" t="s">
        <v>43</v>
      </c>
      <c r="C1" s="36" t="s">
        <v>35</v>
      </c>
      <c r="D1" s="36" t="s">
        <v>38</v>
      </c>
      <c r="E1" s="36" t="s">
        <v>44</v>
      </c>
      <c r="F1" s="36" t="s">
        <v>45</v>
      </c>
      <c r="G1" s="36" t="s">
        <v>46</v>
      </c>
      <c r="H1" s="36" t="s">
        <v>52</v>
      </c>
      <c r="I1" s="36" t="s">
        <v>47</v>
      </c>
      <c r="J1" s="36" t="s">
        <v>53</v>
      </c>
      <c r="K1" s="36" t="s">
        <v>54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37" t="str">
        <f t="shared" ref="A2:A246" si="1">IF(B2="","", "TASK-"&amp;TEXT(ROW()-1,"0000"))</f>
        <v>TASK-0001</v>
      </c>
      <c r="B2" s="38" t="s">
        <v>55</v>
      </c>
      <c r="C2" s="39" t="s">
        <v>9</v>
      </c>
      <c r="D2" s="39" t="s">
        <v>25</v>
      </c>
      <c r="E2" s="39" t="s">
        <v>15</v>
      </c>
      <c r="F2" s="39" t="s">
        <v>23</v>
      </c>
      <c r="G2" s="40">
        <v>46174.0</v>
      </c>
      <c r="H2" s="41"/>
      <c r="I2" s="42"/>
      <c r="J2" s="41"/>
      <c r="K2" s="41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37" t="str">
        <f t="shared" si="1"/>
        <v>TASK-0002</v>
      </c>
      <c r="B3" s="38" t="s">
        <v>56</v>
      </c>
      <c r="C3" s="39" t="s">
        <v>9</v>
      </c>
      <c r="D3" s="39" t="s">
        <v>25</v>
      </c>
      <c r="E3" s="39" t="s">
        <v>15</v>
      </c>
      <c r="F3" s="39" t="s">
        <v>23</v>
      </c>
      <c r="G3" s="40">
        <v>46170.0</v>
      </c>
      <c r="H3" s="41"/>
      <c r="I3" s="42"/>
      <c r="J3" s="41"/>
      <c r="K3" s="41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37" t="str">
        <f t="shared" si="1"/>
        <v>TASK-0003</v>
      </c>
      <c r="B4" s="38" t="s">
        <v>57</v>
      </c>
      <c r="C4" s="39" t="s">
        <v>9</v>
      </c>
      <c r="D4" s="39" t="s">
        <v>29</v>
      </c>
      <c r="E4" s="39" t="s">
        <v>15</v>
      </c>
      <c r="F4" s="39" t="s">
        <v>7</v>
      </c>
      <c r="G4" s="40">
        <v>46174.0</v>
      </c>
      <c r="H4" s="41"/>
      <c r="I4" s="42"/>
      <c r="J4" s="41"/>
      <c r="K4" s="4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37" t="str">
        <f t="shared" si="1"/>
        <v>TASK-0004</v>
      </c>
      <c r="B5" s="38" t="s">
        <v>58</v>
      </c>
      <c r="C5" s="39" t="s">
        <v>9</v>
      </c>
      <c r="D5" s="39" t="s">
        <v>29</v>
      </c>
      <c r="E5" s="39" t="s">
        <v>15</v>
      </c>
      <c r="F5" s="39" t="s">
        <v>23</v>
      </c>
      <c r="G5" s="40">
        <v>46174.0</v>
      </c>
      <c r="H5" s="41"/>
      <c r="I5" s="42"/>
      <c r="J5" s="41"/>
      <c r="K5" s="4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37" t="str">
        <f t="shared" si="1"/>
        <v>TASK-0005</v>
      </c>
      <c r="B6" s="38" t="s">
        <v>59</v>
      </c>
      <c r="C6" s="39" t="s">
        <v>9</v>
      </c>
      <c r="D6" s="39" t="s">
        <v>29</v>
      </c>
      <c r="E6" s="39" t="s">
        <v>15</v>
      </c>
      <c r="F6" s="39" t="s">
        <v>7</v>
      </c>
      <c r="G6" s="40">
        <v>46174.0</v>
      </c>
      <c r="H6" s="41"/>
      <c r="I6" s="42"/>
      <c r="J6" s="41"/>
      <c r="K6" s="4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7" t="str">
        <f t="shared" si="1"/>
        <v>TASK-0006</v>
      </c>
      <c r="B7" s="38" t="s">
        <v>60</v>
      </c>
      <c r="C7" s="39" t="s">
        <v>9</v>
      </c>
      <c r="D7" s="39" t="s">
        <v>18</v>
      </c>
      <c r="E7" s="39" t="s">
        <v>15</v>
      </c>
      <c r="F7" s="39" t="s">
        <v>23</v>
      </c>
      <c r="G7" s="40">
        <v>46167.0</v>
      </c>
      <c r="H7" s="41"/>
      <c r="I7" s="42"/>
      <c r="J7" s="41"/>
      <c r="K7" s="4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37" t="str">
        <f t="shared" si="1"/>
        <v>TASK-0007</v>
      </c>
      <c r="B8" s="38" t="s">
        <v>61</v>
      </c>
      <c r="C8" s="39" t="s">
        <v>9</v>
      </c>
      <c r="D8" s="39" t="s">
        <v>18</v>
      </c>
      <c r="E8" s="39" t="s">
        <v>15</v>
      </c>
      <c r="F8" s="39" t="s">
        <v>23</v>
      </c>
      <c r="G8" s="40">
        <v>46167.0</v>
      </c>
      <c r="H8" s="41"/>
      <c r="I8" s="42"/>
      <c r="J8" s="41"/>
      <c r="K8" s="4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37" t="str">
        <f t="shared" si="1"/>
        <v>TASK-0008</v>
      </c>
      <c r="B9" s="38" t="s">
        <v>62</v>
      </c>
      <c r="C9" s="39" t="s">
        <v>9</v>
      </c>
      <c r="D9" s="39" t="s">
        <v>18</v>
      </c>
      <c r="E9" s="39" t="s">
        <v>15</v>
      </c>
      <c r="F9" s="39" t="s">
        <v>20</v>
      </c>
      <c r="G9" s="40"/>
      <c r="H9" s="43" t="s">
        <v>63</v>
      </c>
      <c r="I9" s="44" t="s">
        <v>64</v>
      </c>
      <c r="J9" s="41"/>
      <c r="K9" s="4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37" t="str">
        <f t="shared" si="1"/>
        <v>TASK-0009</v>
      </c>
      <c r="B10" s="38" t="s">
        <v>65</v>
      </c>
      <c r="C10" s="39" t="s">
        <v>9</v>
      </c>
      <c r="D10" s="39" t="s">
        <v>14</v>
      </c>
      <c r="E10" s="39" t="s">
        <v>15</v>
      </c>
      <c r="F10" s="39" t="s">
        <v>23</v>
      </c>
      <c r="G10" s="40">
        <v>46171.0</v>
      </c>
      <c r="H10" s="41"/>
      <c r="I10" s="42"/>
      <c r="J10" s="41"/>
      <c r="K10" s="4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37" t="str">
        <f t="shared" si="1"/>
        <v>TASK-0010</v>
      </c>
      <c r="B11" s="38" t="s">
        <v>66</v>
      </c>
      <c r="C11" s="39" t="s">
        <v>17</v>
      </c>
      <c r="D11" s="39" t="s">
        <v>27</v>
      </c>
      <c r="E11" s="39" t="s">
        <v>6</v>
      </c>
      <c r="F11" s="39" t="s">
        <v>16</v>
      </c>
      <c r="G11" s="40"/>
      <c r="H11" s="41"/>
      <c r="I11" s="42"/>
      <c r="J11" s="41"/>
      <c r="K11" s="4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37" t="str">
        <f t="shared" si="1"/>
        <v>TASK-0011</v>
      </c>
      <c r="B12" s="38" t="s">
        <v>67</v>
      </c>
      <c r="C12" s="39" t="s">
        <v>9</v>
      </c>
      <c r="D12" s="39" t="s">
        <v>32</v>
      </c>
      <c r="E12" s="39" t="s">
        <v>15</v>
      </c>
      <c r="F12" s="39" t="s">
        <v>12</v>
      </c>
      <c r="G12" s="40">
        <v>46174.0</v>
      </c>
      <c r="H12" s="41"/>
      <c r="I12" s="42"/>
      <c r="J12" s="41"/>
      <c r="K12" s="4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37" t="str">
        <f t="shared" si="1"/>
        <v>TASK-0012</v>
      </c>
      <c r="B13" s="38" t="s">
        <v>68</v>
      </c>
      <c r="C13" s="39" t="s">
        <v>9</v>
      </c>
      <c r="D13" s="39" t="s">
        <v>32</v>
      </c>
      <c r="E13" s="39" t="s">
        <v>15</v>
      </c>
      <c r="F13" s="39" t="s">
        <v>7</v>
      </c>
      <c r="G13" s="40">
        <v>46171.0</v>
      </c>
      <c r="H13" s="41"/>
      <c r="I13" s="42"/>
      <c r="J13" s="41"/>
      <c r="K13" s="4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37" t="str">
        <f t="shared" si="1"/>
        <v>TASK-0013</v>
      </c>
      <c r="B14" s="38" t="s">
        <v>69</v>
      </c>
      <c r="C14" s="39" t="s">
        <v>9</v>
      </c>
      <c r="D14" s="39" t="s">
        <v>32</v>
      </c>
      <c r="E14" s="39" t="s">
        <v>15</v>
      </c>
      <c r="F14" s="39" t="s">
        <v>23</v>
      </c>
      <c r="G14" s="40">
        <v>46170.0</v>
      </c>
      <c r="H14" s="41"/>
      <c r="I14" s="42"/>
      <c r="J14" s="41"/>
      <c r="K14" s="4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7" t="str">
        <f t="shared" si="1"/>
        <v>TASK-0014</v>
      </c>
      <c r="B15" s="38" t="s">
        <v>70</v>
      </c>
      <c r="C15" s="39" t="s">
        <v>9</v>
      </c>
      <c r="D15" s="39" t="s">
        <v>31</v>
      </c>
      <c r="E15" s="39" t="s">
        <v>15</v>
      </c>
      <c r="F15" s="39" t="s">
        <v>7</v>
      </c>
      <c r="G15" s="40">
        <v>46153.0</v>
      </c>
      <c r="H15" s="41"/>
      <c r="I15" s="42"/>
      <c r="J15" s="41"/>
      <c r="K15" s="4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7" t="str">
        <f t="shared" si="1"/>
        <v>TASK-0015</v>
      </c>
      <c r="B16" s="38" t="s">
        <v>71</v>
      </c>
      <c r="C16" s="39" t="s">
        <v>17</v>
      </c>
      <c r="D16" s="39" t="s">
        <v>27</v>
      </c>
      <c r="E16" s="39" t="s">
        <v>6</v>
      </c>
      <c r="F16" s="39" t="s">
        <v>20</v>
      </c>
      <c r="G16" s="40">
        <v>46174.0</v>
      </c>
      <c r="H16" s="41"/>
      <c r="I16" s="42"/>
      <c r="J16" s="41"/>
      <c r="K16" s="4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7" t="str">
        <f t="shared" si="1"/>
        <v>TASK-0016</v>
      </c>
      <c r="B17" s="45" t="s">
        <v>72</v>
      </c>
      <c r="C17" s="39" t="s">
        <v>26</v>
      </c>
      <c r="D17" s="39" t="s">
        <v>10</v>
      </c>
      <c r="E17" s="39" t="s">
        <v>15</v>
      </c>
      <c r="F17" s="39" t="s">
        <v>7</v>
      </c>
      <c r="G17" s="40">
        <v>46178.0</v>
      </c>
      <c r="H17" s="41"/>
      <c r="I17" s="42"/>
      <c r="J17" s="41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7" t="str">
        <f t="shared" si="1"/>
        <v>TASK-0017</v>
      </c>
      <c r="B18" s="45" t="s">
        <v>73</v>
      </c>
      <c r="C18" s="39" t="s">
        <v>26</v>
      </c>
      <c r="D18" s="39" t="s">
        <v>10</v>
      </c>
      <c r="E18" s="39" t="s">
        <v>15</v>
      </c>
      <c r="F18" s="39" t="s">
        <v>7</v>
      </c>
      <c r="G18" s="40">
        <v>46178.0</v>
      </c>
      <c r="H18" s="41"/>
      <c r="I18" s="42"/>
      <c r="J18" s="41"/>
      <c r="K18" s="4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7" t="str">
        <f t="shared" si="1"/>
        <v>TASK-0018</v>
      </c>
      <c r="B19" s="45" t="s">
        <v>74</v>
      </c>
      <c r="C19" s="39" t="s">
        <v>26</v>
      </c>
      <c r="D19" s="39" t="s">
        <v>10</v>
      </c>
      <c r="E19" s="39" t="s">
        <v>15</v>
      </c>
      <c r="F19" s="39" t="s">
        <v>7</v>
      </c>
      <c r="G19" s="40">
        <v>46178.0</v>
      </c>
      <c r="H19" s="41"/>
      <c r="I19" s="42"/>
      <c r="J19" s="41"/>
      <c r="K19" s="4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7" t="str">
        <f t="shared" si="1"/>
        <v>TASK-0019</v>
      </c>
      <c r="B20" s="38" t="s">
        <v>75</v>
      </c>
      <c r="C20" s="39" t="s">
        <v>28</v>
      </c>
      <c r="D20" s="39" t="s">
        <v>10</v>
      </c>
      <c r="E20" s="39" t="s">
        <v>15</v>
      </c>
      <c r="F20" s="39" t="s">
        <v>7</v>
      </c>
      <c r="G20" s="40">
        <v>46178.0</v>
      </c>
      <c r="H20" s="41"/>
      <c r="I20" s="42"/>
      <c r="J20" s="41"/>
      <c r="K20" s="4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7" t="str">
        <f t="shared" si="1"/>
        <v>TASK-0020</v>
      </c>
      <c r="B21" s="45" t="s">
        <v>76</v>
      </c>
      <c r="C21" s="39" t="s">
        <v>17</v>
      </c>
      <c r="D21" s="39" t="s">
        <v>33</v>
      </c>
      <c r="E21" s="39" t="s">
        <v>15</v>
      </c>
      <c r="F21" s="39" t="s">
        <v>7</v>
      </c>
      <c r="G21" s="40">
        <v>46178.0</v>
      </c>
      <c r="H21" s="41"/>
      <c r="I21" s="42"/>
      <c r="J21" s="41"/>
      <c r="K21" s="4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7" t="str">
        <f t="shared" si="1"/>
        <v>TASK-0021</v>
      </c>
      <c r="B22" s="45" t="s">
        <v>77</v>
      </c>
      <c r="C22" s="39" t="s">
        <v>13</v>
      </c>
      <c r="D22" s="39" t="s">
        <v>10</v>
      </c>
      <c r="E22" s="39" t="s">
        <v>15</v>
      </c>
      <c r="F22" s="39" t="s">
        <v>7</v>
      </c>
      <c r="G22" s="40">
        <v>46178.0</v>
      </c>
      <c r="H22" s="41"/>
      <c r="I22" s="42"/>
      <c r="J22" s="41"/>
      <c r="K22" s="4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7" t="str">
        <f t="shared" si="1"/>
        <v>TASK-0022</v>
      </c>
      <c r="B23" s="45" t="s">
        <v>78</v>
      </c>
      <c r="C23" s="39" t="s">
        <v>13</v>
      </c>
      <c r="D23" s="39" t="s">
        <v>33</v>
      </c>
      <c r="E23" s="39" t="s">
        <v>15</v>
      </c>
      <c r="F23" s="39" t="s">
        <v>7</v>
      </c>
      <c r="G23" s="40">
        <v>46178.0</v>
      </c>
      <c r="H23" s="41"/>
      <c r="I23" s="42"/>
      <c r="J23" s="41"/>
      <c r="K23" s="4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7" t="str">
        <f t="shared" si="1"/>
        <v>TASK-0023</v>
      </c>
      <c r="B24" s="45" t="s">
        <v>79</v>
      </c>
      <c r="C24" s="39" t="s">
        <v>13</v>
      </c>
      <c r="D24" s="39" t="s">
        <v>10</v>
      </c>
      <c r="E24" s="39" t="s">
        <v>15</v>
      </c>
      <c r="F24" s="39" t="s">
        <v>7</v>
      </c>
      <c r="G24" s="40">
        <v>46178.0</v>
      </c>
      <c r="H24" s="41"/>
      <c r="I24" s="42"/>
      <c r="J24" s="41"/>
      <c r="K24" s="4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7" t="str">
        <f t="shared" si="1"/>
        <v>TASK-0024</v>
      </c>
      <c r="B25" s="45" t="s">
        <v>80</v>
      </c>
      <c r="C25" s="39" t="s">
        <v>13</v>
      </c>
      <c r="D25" s="39" t="s">
        <v>33</v>
      </c>
      <c r="E25" s="39" t="s">
        <v>15</v>
      </c>
      <c r="F25" s="39" t="s">
        <v>7</v>
      </c>
      <c r="G25" s="40">
        <v>46178.0</v>
      </c>
      <c r="H25" s="41"/>
      <c r="I25" s="42"/>
      <c r="J25" s="41"/>
      <c r="K25" s="4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7" t="str">
        <f t="shared" si="1"/>
        <v>TASK-0025</v>
      </c>
      <c r="B26" s="45" t="s">
        <v>81</v>
      </c>
      <c r="C26" s="39" t="s">
        <v>13</v>
      </c>
      <c r="D26" s="39" t="s">
        <v>33</v>
      </c>
      <c r="E26" s="39" t="s">
        <v>15</v>
      </c>
      <c r="F26" s="39" t="s">
        <v>7</v>
      </c>
      <c r="G26" s="40">
        <v>46178.0</v>
      </c>
      <c r="H26" s="41"/>
      <c r="I26" s="42"/>
      <c r="J26" s="41"/>
      <c r="K26" s="4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7" t="str">
        <f t="shared" si="1"/>
        <v>TASK-0026</v>
      </c>
      <c r="B27" s="45" t="s">
        <v>82</v>
      </c>
      <c r="C27" s="39" t="s">
        <v>13</v>
      </c>
      <c r="D27" s="39" t="s">
        <v>10</v>
      </c>
      <c r="E27" s="39" t="s">
        <v>15</v>
      </c>
      <c r="F27" s="39" t="s">
        <v>7</v>
      </c>
      <c r="G27" s="40">
        <v>46178.0</v>
      </c>
      <c r="H27" s="41"/>
      <c r="I27" s="42"/>
      <c r="J27" s="41"/>
      <c r="K27" s="4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7" t="str">
        <f t="shared" si="1"/>
        <v/>
      </c>
      <c r="B28" s="46"/>
      <c r="C28" s="47"/>
      <c r="D28" s="47"/>
      <c r="E28" s="47"/>
      <c r="F28" s="47"/>
      <c r="G28" s="48"/>
      <c r="H28" s="41"/>
      <c r="I28" s="42"/>
      <c r="J28" s="41"/>
      <c r="K28" s="4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7" t="str">
        <f t="shared" si="1"/>
        <v/>
      </c>
      <c r="B29" s="46"/>
      <c r="C29" s="47"/>
      <c r="D29" s="47"/>
      <c r="E29" s="47"/>
      <c r="F29" s="47"/>
      <c r="G29" s="48"/>
      <c r="H29" s="41"/>
      <c r="I29" s="42"/>
      <c r="J29" s="41"/>
      <c r="K29" s="4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7" t="str">
        <f t="shared" si="1"/>
        <v/>
      </c>
      <c r="B30" s="46"/>
      <c r="C30" s="47"/>
      <c r="D30" s="47"/>
      <c r="E30" s="47"/>
      <c r="F30" s="47"/>
      <c r="G30" s="48"/>
      <c r="H30" s="41"/>
      <c r="I30" s="42"/>
      <c r="J30" s="41"/>
      <c r="K30" s="4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7" t="str">
        <f t="shared" si="1"/>
        <v/>
      </c>
      <c r="B31" s="46"/>
      <c r="C31" s="47"/>
      <c r="D31" s="47"/>
      <c r="E31" s="47"/>
      <c r="F31" s="47"/>
      <c r="G31" s="48"/>
      <c r="H31" s="41"/>
      <c r="I31" s="42"/>
      <c r="J31" s="41"/>
      <c r="K31" s="4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7" t="str">
        <f t="shared" si="1"/>
        <v/>
      </c>
      <c r="B32" s="46"/>
      <c r="C32" s="47"/>
      <c r="D32" s="47"/>
      <c r="E32" s="47"/>
      <c r="F32" s="47"/>
      <c r="G32" s="48"/>
      <c r="H32" s="41"/>
      <c r="I32" s="42"/>
      <c r="J32" s="41"/>
      <c r="K32" s="4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7" t="str">
        <f t="shared" si="1"/>
        <v/>
      </c>
      <c r="B33" s="46"/>
      <c r="C33" s="47"/>
      <c r="D33" s="47"/>
      <c r="E33" s="47"/>
      <c r="F33" s="47"/>
      <c r="G33" s="48"/>
      <c r="H33" s="41"/>
      <c r="I33" s="42"/>
      <c r="J33" s="41"/>
      <c r="K33" s="4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7" t="str">
        <f t="shared" si="1"/>
        <v/>
      </c>
      <c r="B34" s="46"/>
      <c r="C34" s="47"/>
      <c r="D34" s="47"/>
      <c r="E34" s="47"/>
      <c r="F34" s="47"/>
      <c r="G34" s="48"/>
      <c r="H34" s="41"/>
      <c r="I34" s="42"/>
      <c r="J34" s="41"/>
      <c r="K34" s="4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7" t="str">
        <f t="shared" si="1"/>
        <v/>
      </c>
      <c r="B35" s="46"/>
      <c r="C35" s="47"/>
      <c r="D35" s="47"/>
      <c r="E35" s="47"/>
      <c r="F35" s="47"/>
      <c r="G35" s="48"/>
      <c r="H35" s="41"/>
      <c r="I35" s="42"/>
      <c r="J35" s="41"/>
      <c r="K35" s="4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7" t="str">
        <f t="shared" si="1"/>
        <v/>
      </c>
      <c r="B36" s="46"/>
      <c r="C36" s="47"/>
      <c r="D36" s="47"/>
      <c r="E36" s="47"/>
      <c r="F36" s="47"/>
      <c r="G36" s="48"/>
      <c r="H36" s="41"/>
      <c r="I36" s="42"/>
      <c r="J36" s="41"/>
      <c r="K36" s="4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7" t="str">
        <f t="shared" si="1"/>
        <v/>
      </c>
      <c r="B37" s="46"/>
      <c r="C37" s="47"/>
      <c r="D37" s="47"/>
      <c r="E37" s="47"/>
      <c r="F37" s="47"/>
      <c r="G37" s="48"/>
      <c r="H37" s="41"/>
      <c r="I37" s="42"/>
      <c r="J37" s="41"/>
      <c r="K37" s="4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7" t="str">
        <f t="shared" si="1"/>
        <v/>
      </c>
      <c r="B38" s="46"/>
      <c r="C38" s="47"/>
      <c r="D38" s="47"/>
      <c r="E38" s="47"/>
      <c r="F38" s="47"/>
      <c r="G38" s="48"/>
      <c r="H38" s="41"/>
      <c r="I38" s="42"/>
      <c r="J38" s="41"/>
      <c r="K38" s="4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7" t="str">
        <f t="shared" si="1"/>
        <v/>
      </c>
      <c r="B39" s="46"/>
      <c r="C39" s="47"/>
      <c r="D39" s="47"/>
      <c r="E39" s="47"/>
      <c r="F39" s="47"/>
      <c r="G39" s="48"/>
      <c r="H39" s="41"/>
      <c r="I39" s="42"/>
      <c r="J39" s="41"/>
      <c r="K39" s="4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7" t="str">
        <f t="shared" si="1"/>
        <v/>
      </c>
      <c r="B40" s="46"/>
      <c r="C40" s="47"/>
      <c r="D40" s="47"/>
      <c r="E40" s="47"/>
      <c r="F40" s="47"/>
      <c r="G40" s="48"/>
      <c r="H40" s="41"/>
      <c r="I40" s="42"/>
      <c r="J40" s="41"/>
      <c r="K40" s="4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7" t="str">
        <f t="shared" si="1"/>
        <v/>
      </c>
      <c r="B41" s="46"/>
      <c r="C41" s="47"/>
      <c r="D41" s="47"/>
      <c r="E41" s="47"/>
      <c r="F41" s="47"/>
      <c r="G41" s="48"/>
      <c r="H41" s="41"/>
      <c r="I41" s="42"/>
      <c r="J41" s="41"/>
      <c r="K41" s="4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7" t="str">
        <f t="shared" si="1"/>
        <v/>
      </c>
      <c r="B42" s="46"/>
      <c r="C42" s="47"/>
      <c r="D42" s="47"/>
      <c r="E42" s="47"/>
      <c r="F42" s="47"/>
      <c r="G42" s="48"/>
      <c r="H42" s="41"/>
      <c r="I42" s="42"/>
      <c r="J42" s="41"/>
      <c r="K42" s="4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7" t="str">
        <f t="shared" si="1"/>
        <v/>
      </c>
      <c r="B43" s="46"/>
      <c r="C43" s="47"/>
      <c r="D43" s="47"/>
      <c r="E43" s="47"/>
      <c r="F43" s="47"/>
      <c r="G43" s="48"/>
      <c r="H43" s="41"/>
      <c r="I43" s="42"/>
      <c r="J43" s="41"/>
      <c r="K43" s="4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7" t="str">
        <f t="shared" si="1"/>
        <v/>
      </c>
      <c r="B44" s="46"/>
      <c r="C44" s="47"/>
      <c r="D44" s="47"/>
      <c r="E44" s="47"/>
      <c r="F44" s="47"/>
      <c r="G44" s="48"/>
      <c r="H44" s="41"/>
      <c r="I44" s="42"/>
      <c r="J44" s="41"/>
      <c r="K44" s="4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7" t="str">
        <f t="shared" si="1"/>
        <v/>
      </c>
      <c r="B45" s="46"/>
      <c r="C45" s="47"/>
      <c r="D45" s="47"/>
      <c r="E45" s="47"/>
      <c r="F45" s="47"/>
      <c r="G45" s="48"/>
      <c r="H45" s="41"/>
      <c r="I45" s="42"/>
      <c r="J45" s="41"/>
      <c r="K45" s="4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7" t="str">
        <f t="shared" si="1"/>
        <v/>
      </c>
      <c r="B46" s="46"/>
      <c r="C46" s="47"/>
      <c r="D46" s="47"/>
      <c r="E46" s="47"/>
      <c r="F46" s="47"/>
      <c r="G46" s="48"/>
      <c r="H46" s="41"/>
      <c r="I46" s="42"/>
      <c r="J46" s="41"/>
      <c r="K46" s="4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7" t="str">
        <f t="shared" si="1"/>
        <v/>
      </c>
      <c r="B47" s="46"/>
      <c r="C47" s="47"/>
      <c r="D47" s="47"/>
      <c r="E47" s="47"/>
      <c r="F47" s="47"/>
      <c r="G47" s="48"/>
      <c r="H47" s="41"/>
      <c r="I47" s="42"/>
      <c r="J47" s="41"/>
      <c r="K47" s="4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7" t="str">
        <f t="shared" si="1"/>
        <v/>
      </c>
      <c r="B48" s="46"/>
      <c r="C48" s="47"/>
      <c r="D48" s="47"/>
      <c r="E48" s="47"/>
      <c r="F48" s="47"/>
      <c r="G48" s="48"/>
      <c r="H48" s="41"/>
      <c r="I48" s="42"/>
      <c r="J48" s="41"/>
      <c r="K48" s="4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7" t="str">
        <f t="shared" si="1"/>
        <v/>
      </c>
      <c r="B49" s="46"/>
      <c r="C49" s="47"/>
      <c r="D49" s="47"/>
      <c r="E49" s="47"/>
      <c r="F49" s="47"/>
      <c r="G49" s="48"/>
      <c r="H49" s="41"/>
      <c r="I49" s="42"/>
      <c r="J49" s="41"/>
      <c r="K49" s="4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7" t="str">
        <f t="shared" si="1"/>
        <v/>
      </c>
      <c r="B50" s="46"/>
      <c r="C50" s="47"/>
      <c r="D50" s="47"/>
      <c r="E50" s="47"/>
      <c r="F50" s="47"/>
      <c r="G50" s="48"/>
      <c r="H50" s="41"/>
      <c r="I50" s="42"/>
      <c r="J50" s="41"/>
      <c r="K50" s="4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7" t="str">
        <f t="shared" si="1"/>
        <v/>
      </c>
      <c r="B51" s="46"/>
      <c r="C51" s="47"/>
      <c r="D51" s="47"/>
      <c r="E51" s="47"/>
      <c r="F51" s="47"/>
      <c r="G51" s="48"/>
      <c r="H51" s="41"/>
      <c r="I51" s="42"/>
      <c r="J51" s="41"/>
      <c r="K51" s="4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7" t="str">
        <f t="shared" si="1"/>
        <v/>
      </c>
      <c r="B52" s="46"/>
      <c r="C52" s="47"/>
      <c r="D52" s="47"/>
      <c r="E52" s="47"/>
      <c r="F52" s="47"/>
      <c r="G52" s="48"/>
      <c r="H52" s="41"/>
      <c r="I52" s="42"/>
      <c r="J52" s="41"/>
      <c r="K52" s="4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7" t="str">
        <f t="shared" si="1"/>
        <v/>
      </c>
      <c r="B53" s="46"/>
      <c r="C53" s="47"/>
      <c r="D53" s="47"/>
      <c r="E53" s="47"/>
      <c r="F53" s="47"/>
      <c r="G53" s="48"/>
      <c r="H53" s="41"/>
      <c r="I53" s="42"/>
      <c r="J53" s="41"/>
      <c r="K53" s="4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7" t="str">
        <f t="shared" si="1"/>
        <v/>
      </c>
      <c r="B54" s="46"/>
      <c r="C54" s="47"/>
      <c r="D54" s="47"/>
      <c r="E54" s="47"/>
      <c r="F54" s="47"/>
      <c r="G54" s="48"/>
      <c r="H54" s="41"/>
      <c r="I54" s="42"/>
      <c r="J54" s="41"/>
      <c r="K54" s="4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7" t="str">
        <f t="shared" si="1"/>
        <v/>
      </c>
      <c r="B55" s="46"/>
      <c r="C55" s="47"/>
      <c r="D55" s="47"/>
      <c r="E55" s="47"/>
      <c r="F55" s="47"/>
      <c r="G55" s="48"/>
      <c r="H55" s="41"/>
      <c r="I55" s="42"/>
      <c r="J55" s="41"/>
      <c r="K55" s="4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7" t="str">
        <f t="shared" si="1"/>
        <v/>
      </c>
      <c r="B56" s="46"/>
      <c r="C56" s="47"/>
      <c r="D56" s="47"/>
      <c r="E56" s="47"/>
      <c r="F56" s="47"/>
      <c r="G56" s="48"/>
      <c r="H56" s="41"/>
      <c r="I56" s="42"/>
      <c r="J56" s="41"/>
      <c r="K56" s="4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7" t="str">
        <f t="shared" si="1"/>
        <v/>
      </c>
      <c r="B57" s="46"/>
      <c r="C57" s="47"/>
      <c r="D57" s="47"/>
      <c r="E57" s="47"/>
      <c r="F57" s="47"/>
      <c r="G57" s="48"/>
      <c r="H57" s="41"/>
      <c r="I57" s="42"/>
      <c r="J57" s="41"/>
      <c r="K57" s="4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7" t="str">
        <f t="shared" si="1"/>
        <v/>
      </c>
      <c r="B58" s="46"/>
      <c r="C58" s="47"/>
      <c r="D58" s="47"/>
      <c r="E58" s="47"/>
      <c r="F58" s="47"/>
      <c r="G58" s="48"/>
      <c r="H58" s="41"/>
      <c r="I58" s="42"/>
      <c r="J58" s="41"/>
      <c r="K58" s="41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7" t="str">
        <f t="shared" si="1"/>
        <v/>
      </c>
      <c r="B59" s="46"/>
      <c r="C59" s="47"/>
      <c r="D59" s="47"/>
      <c r="E59" s="47"/>
      <c r="F59" s="47"/>
      <c r="G59" s="48"/>
      <c r="H59" s="41"/>
      <c r="I59" s="42"/>
      <c r="J59" s="41"/>
      <c r="K59" s="41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7" t="str">
        <f t="shared" si="1"/>
        <v/>
      </c>
      <c r="B60" s="46"/>
      <c r="C60" s="47"/>
      <c r="D60" s="47"/>
      <c r="E60" s="47"/>
      <c r="F60" s="47"/>
      <c r="G60" s="48"/>
      <c r="H60" s="41"/>
      <c r="I60" s="42"/>
      <c r="J60" s="41"/>
      <c r="K60" s="4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7" t="str">
        <f t="shared" si="1"/>
        <v/>
      </c>
      <c r="B61" s="46"/>
      <c r="C61" s="47"/>
      <c r="D61" s="47"/>
      <c r="E61" s="47"/>
      <c r="F61" s="47"/>
      <c r="G61" s="48"/>
      <c r="H61" s="41"/>
      <c r="I61" s="42"/>
      <c r="J61" s="41"/>
      <c r="K61" s="4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7" t="str">
        <f t="shared" si="1"/>
        <v/>
      </c>
      <c r="B62" s="46"/>
      <c r="C62" s="47"/>
      <c r="D62" s="47"/>
      <c r="E62" s="47"/>
      <c r="F62" s="47"/>
      <c r="G62" s="48"/>
      <c r="H62" s="41"/>
      <c r="I62" s="42"/>
      <c r="J62" s="41"/>
      <c r="K62" s="4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7" t="str">
        <f t="shared" si="1"/>
        <v/>
      </c>
      <c r="B63" s="46"/>
      <c r="C63" s="47"/>
      <c r="D63" s="47"/>
      <c r="E63" s="47"/>
      <c r="F63" s="47"/>
      <c r="G63" s="48"/>
      <c r="H63" s="41"/>
      <c r="I63" s="42"/>
      <c r="J63" s="41"/>
      <c r="K63" s="4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7" t="str">
        <f t="shared" si="1"/>
        <v/>
      </c>
      <c r="B64" s="46"/>
      <c r="C64" s="47"/>
      <c r="D64" s="47"/>
      <c r="E64" s="47"/>
      <c r="F64" s="47"/>
      <c r="G64" s="48"/>
      <c r="H64" s="41"/>
      <c r="I64" s="42"/>
      <c r="J64" s="41"/>
      <c r="K64" s="4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7" t="str">
        <f t="shared" si="1"/>
        <v/>
      </c>
      <c r="B65" s="46"/>
      <c r="C65" s="47"/>
      <c r="D65" s="47"/>
      <c r="E65" s="47"/>
      <c r="F65" s="47"/>
      <c r="G65" s="48"/>
      <c r="H65" s="41"/>
      <c r="I65" s="42"/>
      <c r="J65" s="41"/>
      <c r="K65" s="4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7" t="str">
        <f t="shared" si="1"/>
        <v/>
      </c>
      <c r="B66" s="46"/>
      <c r="C66" s="47"/>
      <c r="D66" s="47"/>
      <c r="E66" s="47"/>
      <c r="F66" s="47"/>
      <c r="G66" s="48"/>
      <c r="H66" s="41"/>
      <c r="I66" s="42"/>
      <c r="J66" s="41"/>
      <c r="K66" s="4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7" t="str">
        <f t="shared" si="1"/>
        <v/>
      </c>
      <c r="B67" s="46"/>
      <c r="C67" s="47"/>
      <c r="D67" s="47"/>
      <c r="E67" s="47"/>
      <c r="F67" s="47"/>
      <c r="G67" s="48"/>
      <c r="H67" s="41"/>
      <c r="I67" s="42"/>
      <c r="J67" s="41"/>
      <c r="K67" s="4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7" t="str">
        <f t="shared" si="1"/>
        <v/>
      </c>
      <c r="B68" s="46"/>
      <c r="C68" s="47"/>
      <c r="D68" s="47"/>
      <c r="E68" s="47"/>
      <c r="F68" s="47"/>
      <c r="G68" s="48"/>
      <c r="H68" s="41"/>
      <c r="I68" s="42"/>
      <c r="J68" s="41"/>
      <c r="K68" s="4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7" t="str">
        <f t="shared" si="1"/>
        <v/>
      </c>
      <c r="B69" s="46"/>
      <c r="C69" s="47"/>
      <c r="D69" s="47"/>
      <c r="E69" s="47"/>
      <c r="F69" s="47"/>
      <c r="G69" s="48"/>
      <c r="H69" s="41"/>
      <c r="I69" s="42"/>
      <c r="J69" s="41"/>
      <c r="K69" s="41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7" t="str">
        <f t="shared" si="1"/>
        <v/>
      </c>
      <c r="B70" s="46"/>
      <c r="C70" s="47"/>
      <c r="D70" s="47"/>
      <c r="E70" s="47"/>
      <c r="F70" s="47"/>
      <c r="G70" s="48"/>
      <c r="H70" s="41"/>
      <c r="I70" s="42"/>
      <c r="J70" s="41"/>
      <c r="K70" s="41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7" t="str">
        <f t="shared" si="1"/>
        <v/>
      </c>
      <c r="B71" s="46"/>
      <c r="C71" s="47"/>
      <c r="D71" s="47"/>
      <c r="E71" s="47"/>
      <c r="F71" s="47"/>
      <c r="G71" s="48"/>
      <c r="H71" s="41"/>
      <c r="I71" s="42"/>
      <c r="J71" s="41"/>
      <c r="K71" s="41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7" t="str">
        <f t="shared" si="1"/>
        <v/>
      </c>
      <c r="B72" s="46"/>
      <c r="C72" s="47"/>
      <c r="D72" s="47"/>
      <c r="E72" s="47"/>
      <c r="F72" s="47"/>
      <c r="G72" s="48"/>
      <c r="H72" s="41"/>
      <c r="I72" s="42"/>
      <c r="J72" s="41"/>
      <c r="K72" s="41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7" t="str">
        <f t="shared" si="1"/>
        <v/>
      </c>
      <c r="B73" s="46"/>
      <c r="C73" s="47"/>
      <c r="D73" s="47"/>
      <c r="E73" s="47"/>
      <c r="F73" s="47"/>
      <c r="G73" s="48"/>
      <c r="H73" s="41"/>
      <c r="I73" s="42"/>
      <c r="J73" s="41"/>
      <c r="K73" s="41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7" t="str">
        <f t="shared" si="1"/>
        <v/>
      </c>
      <c r="B74" s="46"/>
      <c r="C74" s="47"/>
      <c r="D74" s="47"/>
      <c r="E74" s="47"/>
      <c r="F74" s="47"/>
      <c r="G74" s="48"/>
      <c r="H74" s="41"/>
      <c r="I74" s="42"/>
      <c r="J74" s="41"/>
      <c r="K74" s="41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7" t="str">
        <f t="shared" si="1"/>
        <v/>
      </c>
      <c r="B75" s="46"/>
      <c r="C75" s="47"/>
      <c r="D75" s="47"/>
      <c r="E75" s="47"/>
      <c r="F75" s="47"/>
      <c r="G75" s="48"/>
      <c r="H75" s="41"/>
      <c r="I75" s="42"/>
      <c r="J75" s="41"/>
      <c r="K75" s="41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7" t="str">
        <f t="shared" si="1"/>
        <v/>
      </c>
      <c r="B76" s="46"/>
      <c r="C76" s="47"/>
      <c r="D76" s="47"/>
      <c r="E76" s="47"/>
      <c r="F76" s="47"/>
      <c r="G76" s="48"/>
      <c r="H76" s="41"/>
      <c r="I76" s="42"/>
      <c r="J76" s="41"/>
      <c r="K76" s="41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7" t="str">
        <f t="shared" si="1"/>
        <v/>
      </c>
      <c r="B77" s="46"/>
      <c r="C77" s="47"/>
      <c r="D77" s="47"/>
      <c r="E77" s="47"/>
      <c r="F77" s="47"/>
      <c r="G77" s="48"/>
      <c r="H77" s="41"/>
      <c r="I77" s="42"/>
      <c r="J77" s="41"/>
      <c r="K77" s="41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7" t="str">
        <f t="shared" si="1"/>
        <v/>
      </c>
      <c r="B78" s="46"/>
      <c r="C78" s="47"/>
      <c r="D78" s="47"/>
      <c r="E78" s="47"/>
      <c r="F78" s="47"/>
      <c r="G78" s="48"/>
      <c r="H78" s="41"/>
      <c r="I78" s="42"/>
      <c r="J78" s="41"/>
      <c r="K78" s="41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7" t="str">
        <f t="shared" si="1"/>
        <v/>
      </c>
      <c r="B79" s="46"/>
      <c r="C79" s="47"/>
      <c r="D79" s="47"/>
      <c r="E79" s="47"/>
      <c r="F79" s="47"/>
      <c r="G79" s="48"/>
      <c r="H79" s="41"/>
      <c r="I79" s="42"/>
      <c r="J79" s="41"/>
      <c r="K79" s="41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7" t="str">
        <f t="shared" si="1"/>
        <v/>
      </c>
      <c r="B80" s="46"/>
      <c r="C80" s="47"/>
      <c r="D80" s="47"/>
      <c r="E80" s="47"/>
      <c r="F80" s="47"/>
      <c r="G80" s="48"/>
      <c r="H80" s="41"/>
      <c r="I80" s="42"/>
      <c r="J80" s="41"/>
      <c r="K80" s="41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7" t="str">
        <f t="shared" si="1"/>
        <v/>
      </c>
      <c r="B81" s="46"/>
      <c r="C81" s="47"/>
      <c r="D81" s="47"/>
      <c r="E81" s="47"/>
      <c r="F81" s="47"/>
      <c r="G81" s="48"/>
      <c r="H81" s="41"/>
      <c r="I81" s="42"/>
      <c r="J81" s="41"/>
      <c r="K81" s="41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7" t="str">
        <f t="shared" si="1"/>
        <v/>
      </c>
      <c r="B82" s="46"/>
      <c r="C82" s="47"/>
      <c r="D82" s="47"/>
      <c r="E82" s="47"/>
      <c r="F82" s="47"/>
      <c r="G82" s="48"/>
      <c r="H82" s="41"/>
      <c r="I82" s="42"/>
      <c r="J82" s="41"/>
      <c r="K82" s="41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7" t="str">
        <f t="shared" si="1"/>
        <v/>
      </c>
      <c r="B83" s="46"/>
      <c r="C83" s="47"/>
      <c r="D83" s="47"/>
      <c r="E83" s="47"/>
      <c r="F83" s="47"/>
      <c r="G83" s="48"/>
      <c r="H83" s="41"/>
      <c r="I83" s="42"/>
      <c r="J83" s="41"/>
      <c r="K83" s="41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7" t="str">
        <f t="shared" si="1"/>
        <v/>
      </c>
      <c r="B84" s="46"/>
      <c r="C84" s="47"/>
      <c r="D84" s="47"/>
      <c r="E84" s="47"/>
      <c r="F84" s="47"/>
      <c r="G84" s="48"/>
      <c r="H84" s="41"/>
      <c r="I84" s="42"/>
      <c r="J84" s="41"/>
      <c r="K84" s="41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7" t="str">
        <f t="shared" si="1"/>
        <v/>
      </c>
      <c r="B85" s="46"/>
      <c r="C85" s="47"/>
      <c r="D85" s="47"/>
      <c r="E85" s="47"/>
      <c r="F85" s="47"/>
      <c r="G85" s="48"/>
      <c r="H85" s="41"/>
      <c r="I85" s="42"/>
      <c r="J85" s="41"/>
      <c r="K85" s="41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7" t="str">
        <f t="shared" si="1"/>
        <v/>
      </c>
      <c r="B86" s="46"/>
      <c r="C86" s="47"/>
      <c r="D86" s="47"/>
      <c r="E86" s="47"/>
      <c r="F86" s="47"/>
      <c r="G86" s="48"/>
      <c r="H86" s="41"/>
      <c r="I86" s="42"/>
      <c r="J86" s="41"/>
      <c r="K86" s="41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7" t="str">
        <f t="shared" si="1"/>
        <v/>
      </c>
      <c r="B87" s="46"/>
      <c r="C87" s="47"/>
      <c r="D87" s="47"/>
      <c r="E87" s="47"/>
      <c r="F87" s="47"/>
      <c r="G87" s="48"/>
      <c r="H87" s="41"/>
      <c r="I87" s="42"/>
      <c r="J87" s="41"/>
      <c r="K87" s="41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7" t="str">
        <f t="shared" si="1"/>
        <v/>
      </c>
      <c r="B88" s="46"/>
      <c r="C88" s="47"/>
      <c r="D88" s="47"/>
      <c r="E88" s="47"/>
      <c r="F88" s="47"/>
      <c r="G88" s="48"/>
      <c r="H88" s="41"/>
      <c r="I88" s="42"/>
      <c r="J88" s="41"/>
      <c r="K88" s="41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7" t="str">
        <f t="shared" si="1"/>
        <v/>
      </c>
      <c r="B89" s="46"/>
      <c r="C89" s="47"/>
      <c r="D89" s="47"/>
      <c r="E89" s="47"/>
      <c r="F89" s="47"/>
      <c r="G89" s="48"/>
      <c r="H89" s="41"/>
      <c r="I89" s="42"/>
      <c r="J89" s="41"/>
      <c r="K89" s="41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7" t="str">
        <f t="shared" si="1"/>
        <v/>
      </c>
      <c r="B90" s="46"/>
      <c r="C90" s="47"/>
      <c r="D90" s="47"/>
      <c r="E90" s="47"/>
      <c r="F90" s="47"/>
      <c r="G90" s="48"/>
      <c r="H90" s="41"/>
      <c r="I90" s="42"/>
      <c r="J90" s="41"/>
      <c r="K90" s="41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7" t="str">
        <f t="shared" si="1"/>
        <v/>
      </c>
      <c r="B91" s="46"/>
      <c r="C91" s="47"/>
      <c r="D91" s="47"/>
      <c r="E91" s="47"/>
      <c r="F91" s="47"/>
      <c r="G91" s="48"/>
      <c r="H91" s="41"/>
      <c r="I91" s="42"/>
      <c r="J91" s="41"/>
      <c r="K91" s="41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7" t="str">
        <f t="shared" si="1"/>
        <v/>
      </c>
      <c r="B92" s="46"/>
      <c r="C92" s="47"/>
      <c r="D92" s="47"/>
      <c r="E92" s="47"/>
      <c r="F92" s="47"/>
      <c r="G92" s="48"/>
      <c r="H92" s="41"/>
      <c r="I92" s="42"/>
      <c r="J92" s="41"/>
      <c r="K92" s="41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7" t="str">
        <f t="shared" si="1"/>
        <v/>
      </c>
      <c r="B93" s="46"/>
      <c r="C93" s="47"/>
      <c r="D93" s="47"/>
      <c r="E93" s="47"/>
      <c r="F93" s="47"/>
      <c r="G93" s="48"/>
      <c r="H93" s="41"/>
      <c r="I93" s="42"/>
      <c r="J93" s="41"/>
      <c r="K93" s="41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7" t="str">
        <f t="shared" si="1"/>
        <v/>
      </c>
      <c r="B94" s="46"/>
      <c r="C94" s="47"/>
      <c r="D94" s="47"/>
      <c r="E94" s="47"/>
      <c r="F94" s="47"/>
      <c r="G94" s="48"/>
      <c r="H94" s="41"/>
      <c r="I94" s="42"/>
      <c r="J94" s="41"/>
      <c r="K94" s="41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7" t="str">
        <f t="shared" si="1"/>
        <v/>
      </c>
      <c r="B95" s="46"/>
      <c r="C95" s="47"/>
      <c r="D95" s="47"/>
      <c r="E95" s="47"/>
      <c r="F95" s="47"/>
      <c r="G95" s="48"/>
      <c r="H95" s="41"/>
      <c r="I95" s="42"/>
      <c r="J95" s="41"/>
      <c r="K95" s="41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7" t="str">
        <f t="shared" si="1"/>
        <v/>
      </c>
      <c r="B96" s="46"/>
      <c r="C96" s="47"/>
      <c r="D96" s="47"/>
      <c r="E96" s="47"/>
      <c r="F96" s="47"/>
      <c r="G96" s="48"/>
      <c r="H96" s="41"/>
      <c r="I96" s="42"/>
      <c r="J96" s="41"/>
      <c r="K96" s="41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7" t="str">
        <f t="shared" si="1"/>
        <v/>
      </c>
      <c r="B97" s="46"/>
      <c r="C97" s="47"/>
      <c r="D97" s="47"/>
      <c r="E97" s="47"/>
      <c r="F97" s="47"/>
      <c r="G97" s="48"/>
      <c r="H97" s="41"/>
      <c r="I97" s="42"/>
      <c r="J97" s="41"/>
      <c r="K97" s="41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7" t="str">
        <f t="shared" si="1"/>
        <v/>
      </c>
      <c r="B98" s="46"/>
      <c r="C98" s="47"/>
      <c r="D98" s="47"/>
      <c r="E98" s="47"/>
      <c r="F98" s="47"/>
      <c r="G98" s="48"/>
      <c r="H98" s="41"/>
      <c r="I98" s="42"/>
      <c r="J98" s="41"/>
      <c r="K98" s="41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7" t="str">
        <f t="shared" si="1"/>
        <v/>
      </c>
      <c r="B99" s="46"/>
      <c r="C99" s="47"/>
      <c r="D99" s="47"/>
      <c r="E99" s="47"/>
      <c r="F99" s="47"/>
      <c r="G99" s="48"/>
      <c r="H99" s="41"/>
      <c r="I99" s="42"/>
      <c r="J99" s="41"/>
      <c r="K99" s="41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7" t="str">
        <f t="shared" si="1"/>
        <v/>
      </c>
      <c r="B100" s="46"/>
      <c r="C100" s="47"/>
      <c r="D100" s="47"/>
      <c r="E100" s="47"/>
      <c r="F100" s="47"/>
      <c r="G100" s="48"/>
      <c r="H100" s="41"/>
      <c r="I100" s="42"/>
      <c r="J100" s="41"/>
      <c r="K100" s="41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7" t="str">
        <f t="shared" si="1"/>
        <v/>
      </c>
      <c r="B101" s="46"/>
      <c r="C101" s="47"/>
      <c r="D101" s="47"/>
      <c r="E101" s="47"/>
      <c r="F101" s="47"/>
      <c r="G101" s="48"/>
      <c r="H101" s="41"/>
      <c r="I101" s="42"/>
      <c r="J101" s="41"/>
      <c r="K101" s="41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7" t="str">
        <f t="shared" si="1"/>
        <v/>
      </c>
      <c r="B102" s="46"/>
      <c r="C102" s="47"/>
      <c r="D102" s="47"/>
      <c r="E102" s="47"/>
      <c r="F102" s="47"/>
      <c r="G102" s="48"/>
      <c r="H102" s="41"/>
      <c r="I102" s="42"/>
      <c r="J102" s="41"/>
      <c r="K102" s="41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7" t="str">
        <f t="shared" si="1"/>
        <v/>
      </c>
      <c r="B103" s="46"/>
      <c r="C103" s="47"/>
      <c r="D103" s="47"/>
      <c r="E103" s="47"/>
      <c r="F103" s="47"/>
      <c r="G103" s="48"/>
      <c r="H103" s="41"/>
      <c r="I103" s="42"/>
      <c r="J103" s="41"/>
      <c r="K103" s="41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7" t="str">
        <f t="shared" si="1"/>
        <v/>
      </c>
      <c r="B104" s="46"/>
      <c r="C104" s="47"/>
      <c r="D104" s="47"/>
      <c r="E104" s="47"/>
      <c r="F104" s="47"/>
      <c r="G104" s="48"/>
      <c r="H104" s="41"/>
      <c r="I104" s="42"/>
      <c r="J104" s="41"/>
      <c r="K104" s="41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7" t="str">
        <f t="shared" si="1"/>
        <v/>
      </c>
      <c r="B105" s="46"/>
      <c r="C105" s="47"/>
      <c r="D105" s="47"/>
      <c r="E105" s="47"/>
      <c r="F105" s="47"/>
      <c r="G105" s="48"/>
      <c r="H105" s="41"/>
      <c r="I105" s="42"/>
      <c r="J105" s="41"/>
      <c r="K105" s="41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7" t="str">
        <f t="shared" si="1"/>
        <v/>
      </c>
      <c r="B106" s="46"/>
      <c r="C106" s="47"/>
      <c r="D106" s="47"/>
      <c r="E106" s="47"/>
      <c r="F106" s="47"/>
      <c r="G106" s="48"/>
      <c r="H106" s="41"/>
      <c r="I106" s="42"/>
      <c r="J106" s="41"/>
      <c r="K106" s="41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7" t="str">
        <f t="shared" si="1"/>
        <v/>
      </c>
      <c r="B107" s="46"/>
      <c r="C107" s="47"/>
      <c r="D107" s="47"/>
      <c r="E107" s="47"/>
      <c r="F107" s="47"/>
      <c r="G107" s="48"/>
      <c r="H107" s="41"/>
      <c r="I107" s="42"/>
      <c r="J107" s="41"/>
      <c r="K107" s="41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7" t="str">
        <f t="shared" si="1"/>
        <v/>
      </c>
      <c r="B108" s="46"/>
      <c r="C108" s="47"/>
      <c r="D108" s="47"/>
      <c r="E108" s="47"/>
      <c r="F108" s="47"/>
      <c r="G108" s="48"/>
      <c r="H108" s="41"/>
      <c r="I108" s="42"/>
      <c r="J108" s="41"/>
      <c r="K108" s="41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7" t="str">
        <f t="shared" si="1"/>
        <v/>
      </c>
      <c r="B109" s="46"/>
      <c r="C109" s="47"/>
      <c r="D109" s="47"/>
      <c r="E109" s="47"/>
      <c r="F109" s="47"/>
      <c r="G109" s="48"/>
      <c r="H109" s="41"/>
      <c r="I109" s="42"/>
      <c r="J109" s="41"/>
      <c r="K109" s="4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7" t="str">
        <f t="shared" si="1"/>
        <v/>
      </c>
      <c r="B110" s="46"/>
      <c r="C110" s="47"/>
      <c r="D110" s="47"/>
      <c r="E110" s="47"/>
      <c r="F110" s="47"/>
      <c r="G110" s="48"/>
      <c r="H110" s="41"/>
      <c r="I110" s="42"/>
      <c r="J110" s="41"/>
      <c r="K110" s="41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7" t="str">
        <f t="shared" si="1"/>
        <v/>
      </c>
      <c r="B111" s="46"/>
      <c r="C111" s="47"/>
      <c r="D111" s="47"/>
      <c r="E111" s="47"/>
      <c r="F111" s="47"/>
      <c r="G111" s="48"/>
      <c r="H111" s="41"/>
      <c r="I111" s="42"/>
      <c r="J111" s="41"/>
      <c r="K111" s="41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7" t="str">
        <f t="shared" si="1"/>
        <v/>
      </c>
      <c r="B112" s="46"/>
      <c r="C112" s="47"/>
      <c r="D112" s="47"/>
      <c r="E112" s="47"/>
      <c r="F112" s="47"/>
      <c r="G112" s="48"/>
      <c r="H112" s="41"/>
      <c r="I112" s="42"/>
      <c r="J112" s="41"/>
      <c r="K112" s="41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7" t="str">
        <f t="shared" si="1"/>
        <v/>
      </c>
      <c r="B113" s="46"/>
      <c r="C113" s="47"/>
      <c r="D113" s="47"/>
      <c r="E113" s="47"/>
      <c r="F113" s="47"/>
      <c r="G113" s="48"/>
      <c r="H113" s="41"/>
      <c r="I113" s="42"/>
      <c r="J113" s="41"/>
      <c r="K113" s="41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7" t="str">
        <f t="shared" si="1"/>
        <v/>
      </c>
      <c r="B114" s="46"/>
      <c r="C114" s="47"/>
      <c r="D114" s="47"/>
      <c r="E114" s="47"/>
      <c r="F114" s="47"/>
      <c r="G114" s="48"/>
      <c r="H114" s="41"/>
      <c r="I114" s="42"/>
      <c r="J114" s="41"/>
      <c r="K114" s="41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7" t="str">
        <f t="shared" si="1"/>
        <v/>
      </c>
      <c r="B115" s="46"/>
      <c r="C115" s="47"/>
      <c r="D115" s="47"/>
      <c r="E115" s="47"/>
      <c r="F115" s="47"/>
      <c r="G115" s="48"/>
      <c r="H115" s="41"/>
      <c r="I115" s="42"/>
      <c r="J115" s="41"/>
      <c r="K115" s="41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7" t="str">
        <f t="shared" si="1"/>
        <v/>
      </c>
      <c r="B116" s="46"/>
      <c r="C116" s="47"/>
      <c r="D116" s="47"/>
      <c r="E116" s="47"/>
      <c r="F116" s="47"/>
      <c r="G116" s="48"/>
      <c r="H116" s="41"/>
      <c r="I116" s="42"/>
      <c r="J116" s="41"/>
      <c r="K116" s="41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7" t="str">
        <f t="shared" si="1"/>
        <v/>
      </c>
      <c r="B117" s="46"/>
      <c r="C117" s="47"/>
      <c r="D117" s="47"/>
      <c r="E117" s="47"/>
      <c r="F117" s="47"/>
      <c r="G117" s="48"/>
      <c r="H117" s="41"/>
      <c r="I117" s="42"/>
      <c r="J117" s="41"/>
      <c r="K117" s="41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7" t="str">
        <f t="shared" si="1"/>
        <v/>
      </c>
      <c r="B118" s="46"/>
      <c r="C118" s="47"/>
      <c r="D118" s="47"/>
      <c r="E118" s="47"/>
      <c r="F118" s="47"/>
      <c r="G118" s="48"/>
      <c r="H118" s="41"/>
      <c r="I118" s="42"/>
      <c r="J118" s="41"/>
      <c r="K118" s="41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7" t="str">
        <f t="shared" si="1"/>
        <v/>
      </c>
      <c r="B119" s="46"/>
      <c r="C119" s="47"/>
      <c r="D119" s="47"/>
      <c r="E119" s="47"/>
      <c r="F119" s="47"/>
      <c r="G119" s="48"/>
      <c r="H119" s="41"/>
      <c r="I119" s="42"/>
      <c r="J119" s="41"/>
      <c r="K119" s="41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7" t="str">
        <f t="shared" si="1"/>
        <v/>
      </c>
      <c r="B120" s="46"/>
      <c r="C120" s="47"/>
      <c r="D120" s="47"/>
      <c r="E120" s="47"/>
      <c r="F120" s="47"/>
      <c r="G120" s="48"/>
      <c r="H120" s="41"/>
      <c r="I120" s="42"/>
      <c r="J120" s="41"/>
      <c r="K120" s="41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7" t="str">
        <f t="shared" si="1"/>
        <v/>
      </c>
      <c r="B121" s="46"/>
      <c r="C121" s="47"/>
      <c r="D121" s="47"/>
      <c r="E121" s="47"/>
      <c r="F121" s="47"/>
      <c r="G121" s="48"/>
      <c r="H121" s="41"/>
      <c r="I121" s="42"/>
      <c r="J121" s="41"/>
      <c r="K121" s="41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7" t="str">
        <f t="shared" si="1"/>
        <v/>
      </c>
      <c r="B122" s="46"/>
      <c r="C122" s="47"/>
      <c r="D122" s="47"/>
      <c r="E122" s="47"/>
      <c r="F122" s="47"/>
      <c r="G122" s="48"/>
      <c r="H122" s="41"/>
      <c r="I122" s="42"/>
      <c r="J122" s="41"/>
      <c r="K122" s="41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7" t="str">
        <f t="shared" si="1"/>
        <v/>
      </c>
      <c r="B123" s="46"/>
      <c r="C123" s="47"/>
      <c r="D123" s="47"/>
      <c r="E123" s="47"/>
      <c r="F123" s="47"/>
      <c r="G123" s="48"/>
      <c r="H123" s="41"/>
      <c r="I123" s="42"/>
      <c r="J123" s="41"/>
      <c r="K123" s="41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7" t="str">
        <f t="shared" si="1"/>
        <v/>
      </c>
      <c r="B124" s="46"/>
      <c r="C124" s="47"/>
      <c r="D124" s="47"/>
      <c r="E124" s="47"/>
      <c r="F124" s="47"/>
      <c r="G124" s="48"/>
      <c r="H124" s="41"/>
      <c r="I124" s="42"/>
      <c r="J124" s="41"/>
      <c r="K124" s="41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7" t="str">
        <f t="shared" si="1"/>
        <v/>
      </c>
      <c r="B125" s="46"/>
      <c r="C125" s="47"/>
      <c r="D125" s="47"/>
      <c r="E125" s="47"/>
      <c r="F125" s="47"/>
      <c r="G125" s="48"/>
      <c r="H125" s="41"/>
      <c r="I125" s="42"/>
      <c r="J125" s="41"/>
      <c r="K125" s="41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7" t="str">
        <f t="shared" si="1"/>
        <v/>
      </c>
      <c r="B126" s="46"/>
      <c r="C126" s="47"/>
      <c r="D126" s="47"/>
      <c r="E126" s="47"/>
      <c r="F126" s="47"/>
      <c r="G126" s="48"/>
      <c r="H126" s="41"/>
      <c r="I126" s="42"/>
      <c r="J126" s="41"/>
      <c r="K126" s="41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7" t="str">
        <f t="shared" si="1"/>
        <v/>
      </c>
      <c r="B127" s="46"/>
      <c r="C127" s="47"/>
      <c r="D127" s="47"/>
      <c r="E127" s="47"/>
      <c r="F127" s="47"/>
      <c r="G127" s="48"/>
      <c r="H127" s="41"/>
      <c r="I127" s="42"/>
      <c r="J127" s="41"/>
      <c r="K127" s="41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7" t="str">
        <f t="shared" si="1"/>
        <v/>
      </c>
      <c r="B128" s="46"/>
      <c r="C128" s="47"/>
      <c r="D128" s="47"/>
      <c r="E128" s="47"/>
      <c r="F128" s="47"/>
      <c r="G128" s="48"/>
      <c r="H128" s="41"/>
      <c r="I128" s="42"/>
      <c r="J128" s="41"/>
      <c r="K128" s="41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7" t="str">
        <f t="shared" si="1"/>
        <v/>
      </c>
      <c r="B129" s="46"/>
      <c r="C129" s="47"/>
      <c r="D129" s="47"/>
      <c r="E129" s="47"/>
      <c r="F129" s="47"/>
      <c r="G129" s="48"/>
      <c r="H129" s="41"/>
      <c r="I129" s="42"/>
      <c r="J129" s="41"/>
      <c r="K129" s="41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7" t="str">
        <f t="shared" si="1"/>
        <v/>
      </c>
      <c r="B130" s="46"/>
      <c r="C130" s="47"/>
      <c r="D130" s="47"/>
      <c r="E130" s="47"/>
      <c r="F130" s="47"/>
      <c r="G130" s="48"/>
      <c r="H130" s="41"/>
      <c r="I130" s="42"/>
      <c r="J130" s="41"/>
      <c r="K130" s="41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7" t="str">
        <f t="shared" si="1"/>
        <v/>
      </c>
      <c r="B131" s="46"/>
      <c r="C131" s="47"/>
      <c r="D131" s="47"/>
      <c r="E131" s="47"/>
      <c r="F131" s="47"/>
      <c r="G131" s="48"/>
      <c r="H131" s="41"/>
      <c r="I131" s="42"/>
      <c r="J131" s="41"/>
      <c r="K131" s="41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7" t="str">
        <f t="shared" si="1"/>
        <v/>
      </c>
      <c r="B132" s="46"/>
      <c r="C132" s="47"/>
      <c r="D132" s="47"/>
      <c r="E132" s="47"/>
      <c r="F132" s="47"/>
      <c r="G132" s="48"/>
      <c r="H132" s="41"/>
      <c r="I132" s="42"/>
      <c r="J132" s="41"/>
      <c r="K132" s="41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7" t="str">
        <f t="shared" si="1"/>
        <v/>
      </c>
      <c r="B133" s="46"/>
      <c r="C133" s="47"/>
      <c r="D133" s="47"/>
      <c r="E133" s="47"/>
      <c r="F133" s="47"/>
      <c r="G133" s="48"/>
      <c r="H133" s="41"/>
      <c r="I133" s="42"/>
      <c r="J133" s="41"/>
      <c r="K133" s="41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7" t="str">
        <f t="shared" si="1"/>
        <v/>
      </c>
      <c r="B134" s="46"/>
      <c r="C134" s="47"/>
      <c r="D134" s="47"/>
      <c r="E134" s="47"/>
      <c r="F134" s="47"/>
      <c r="G134" s="48"/>
      <c r="H134" s="41"/>
      <c r="I134" s="42"/>
      <c r="J134" s="41"/>
      <c r="K134" s="41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7" t="str">
        <f t="shared" si="1"/>
        <v/>
      </c>
      <c r="B135" s="46"/>
      <c r="C135" s="47"/>
      <c r="D135" s="47"/>
      <c r="E135" s="47"/>
      <c r="F135" s="47"/>
      <c r="G135" s="48"/>
      <c r="H135" s="41"/>
      <c r="I135" s="42"/>
      <c r="J135" s="41"/>
      <c r="K135" s="41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7" t="str">
        <f t="shared" si="1"/>
        <v/>
      </c>
      <c r="B136" s="46"/>
      <c r="C136" s="47"/>
      <c r="D136" s="47"/>
      <c r="E136" s="47"/>
      <c r="F136" s="47"/>
      <c r="G136" s="48"/>
      <c r="H136" s="41"/>
      <c r="I136" s="42"/>
      <c r="J136" s="41"/>
      <c r="K136" s="41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7" t="str">
        <f t="shared" si="1"/>
        <v/>
      </c>
      <c r="B137" s="46"/>
      <c r="C137" s="47"/>
      <c r="D137" s="47"/>
      <c r="E137" s="47"/>
      <c r="F137" s="47"/>
      <c r="G137" s="48"/>
      <c r="H137" s="41"/>
      <c r="I137" s="42"/>
      <c r="J137" s="41"/>
      <c r="K137" s="41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7" t="str">
        <f t="shared" si="1"/>
        <v/>
      </c>
      <c r="B138" s="46"/>
      <c r="C138" s="47"/>
      <c r="D138" s="47"/>
      <c r="E138" s="47"/>
      <c r="F138" s="47"/>
      <c r="G138" s="48"/>
      <c r="H138" s="41"/>
      <c r="I138" s="42"/>
      <c r="J138" s="41"/>
      <c r="K138" s="41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7" t="str">
        <f t="shared" si="1"/>
        <v/>
      </c>
      <c r="B139" s="46"/>
      <c r="C139" s="47"/>
      <c r="D139" s="47"/>
      <c r="E139" s="47"/>
      <c r="F139" s="47"/>
      <c r="G139" s="48"/>
      <c r="H139" s="41"/>
      <c r="I139" s="42"/>
      <c r="J139" s="41"/>
      <c r="K139" s="41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7" t="str">
        <f t="shared" si="1"/>
        <v/>
      </c>
      <c r="B140" s="46"/>
      <c r="C140" s="47"/>
      <c r="D140" s="47"/>
      <c r="E140" s="47"/>
      <c r="F140" s="47"/>
      <c r="G140" s="48"/>
      <c r="H140" s="41"/>
      <c r="I140" s="42"/>
      <c r="J140" s="41"/>
      <c r="K140" s="41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7" t="str">
        <f t="shared" si="1"/>
        <v/>
      </c>
      <c r="B141" s="46"/>
      <c r="C141" s="47"/>
      <c r="D141" s="47"/>
      <c r="E141" s="47"/>
      <c r="F141" s="47"/>
      <c r="G141" s="48"/>
      <c r="H141" s="41"/>
      <c r="I141" s="42"/>
      <c r="J141" s="41"/>
      <c r="K141" s="41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7" t="str">
        <f t="shared" si="1"/>
        <v/>
      </c>
      <c r="B142" s="46"/>
      <c r="C142" s="47"/>
      <c r="D142" s="47"/>
      <c r="E142" s="47"/>
      <c r="F142" s="47"/>
      <c r="G142" s="48"/>
      <c r="H142" s="41"/>
      <c r="I142" s="42"/>
      <c r="J142" s="41"/>
      <c r="K142" s="41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7" t="str">
        <f t="shared" si="1"/>
        <v/>
      </c>
      <c r="B143" s="46"/>
      <c r="C143" s="47"/>
      <c r="D143" s="47"/>
      <c r="E143" s="47"/>
      <c r="F143" s="47"/>
      <c r="G143" s="48"/>
      <c r="H143" s="41"/>
      <c r="I143" s="42"/>
      <c r="J143" s="41"/>
      <c r="K143" s="41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7" t="str">
        <f t="shared" si="1"/>
        <v/>
      </c>
      <c r="B144" s="46"/>
      <c r="C144" s="47"/>
      <c r="D144" s="47"/>
      <c r="E144" s="47"/>
      <c r="F144" s="47"/>
      <c r="G144" s="48"/>
      <c r="H144" s="41"/>
      <c r="I144" s="42"/>
      <c r="J144" s="41"/>
      <c r="K144" s="41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7" t="str">
        <f t="shared" si="1"/>
        <v/>
      </c>
      <c r="B145" s="46"/>
      <c r="C145" s="47"/>
      <c r="D145" s="47"/>
      <c r="E145" s="47"/>
      <c r="F145" s="47"/>
      <c r="G145" s="48"/>
      <c r="H145" s="41"/>
      <c r="I145" s="42"/>
      <c r="J145" s="41"/>
      <c r="K145" s="41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7" t="str">
        <f t="shared" si="1"/>
        <v/>
      </c>
      <c r="B146" s="46"/>
      <c r="C146" s="47"/>
      <c r="D146" s="47"/>
      <c r="E146" s="47"/>
      <c r="F146" s="47"/>
      <c r="G146" s="48"/>
      <c r="H146" s="41"/>
      <c r="I146" s="42"/>
      <c r="J146" s="41"/>
      <c r="K146" s="41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7" t="str">
        <f t="shared" si="1"/>
        <v/>
      </c>
      <c r="B147" s="46"/>
      <c r="C147" s="47"/>
      <c r="D147" s="47"/>
      <c r="E147" s="47"/>
      <c r="F147" s="47"/>
      <c r="G147" s="48"/>
      <c r="H147" s="41"/>
      <c r="I147" s="42"/>
      <c r="J147" s="41"/>
      <c r="K147" s="41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7" t="str">
        <f t="shared" si="1"/>
        <v/>
      </c>
      <c r="B148" s="46"/>
      <c r="C148" s="47"/>
      <c r="D148" s="47"/>
      <c r="E148" s="47"/>
      <c r="F148" s="47"/>
      <c r="G148" s="48"/>
      <c r="H148" s="41"/>
      <c r="I148" s="42"/>
      <c r="J148" s="41"/>
      <c r="K148" s="41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7" t="str">
        <f t="shared" si="1"/>
        <v/>
      </c>
      <c r="B149" s="46"/>
      <c r="C149" s="47"/>
      <c r="D149" s="47"/>
      <c r="E149" s="47"/>
      <c r="F149" s="47"/>
      <c r="G149" s="48"/>
      <c r="H149" s="41"/>
      <c r="I149" s="42"/>
      <c r="J149" s="41"/>
      <c r="K149" s="41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7" t="str">
        <f t="shared" si="1"/>
        <v/>
      </c>
      <c r="B150" s="46"/>
      <c r="C150" s="47"/>
      <c r="D150" s="47"/>
      <c r="E150" s="47"/>
      <c r="F150" s="47"/>
      <c r="G150" s="48"/>
      <c r="H150" s="41"/>
      <c r="I150" s="42"/>
      <c r="J150" s="41"/>
      <c r="K150" s="41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7" t="str">
        <f t="shared" si="1"/>
        <v/>
      </c>
      <c r="B151" s="46"/>
      <c r="C151" s="47"/>
      <c r="D151" s="47"/>
      <c r="E151" s="47"/>
      <c r="F151" s="47"/>
      <c r="G151" s="48"/>
      <c r="H151" s="41"/>
      <c r="I151" s="42"/>
      <c r="J151" s="41"/>
      <c r="K151" s="41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7" t="str">
        <f t="shared" si="1"/>
        <v/>
      </c>
      <c r="B152" s="46"/>
      <c r="C152" s="47"/>
      <c r="D152" s="47"/>
      <c r="E152" s="47"/>
      <c r="F152" s="47"/>
      <c r="G152" s="48"/>
      <c r="H152" s="41"/>
      <c r="I152" s="42"/>
      <c r="J152" s="41"/>
      <c r="K152" s="41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7" t="str">
        <f t="shared" si="1"/>
        <v/>
      </c>
      <c r="B153" s="46"/>
      <c r="C153" s="47"/>
      <c r="D153" s="47"/>
      <c r="E153" s="47"/>
      <c r="F153" s="47"/>
      <c r="G153" s="48"/>
      <c r="H153" s="41"/>
      <c r="I153" s="42"/>
      <c r="J153" s="41"/>
      <c r="K153" s="41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7" t="str">
        <f t="shared" si="1"/>
        <v/>
      </c>
      <c r="B154" s="46"/>
      <c r="C154" s="47"/>
      <c r="D154" s="47"/>
      <c r="E154" s="47"/>
      <c r="F154" s="47"/>
      <c r="G154" s="48"/>
      <c r="H154" s="41"/>
      <c r="I154" s="42"/>
      <c r="J154" s="41"/>
      <c r="K154" s="41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7" t="str">
        <f t="shared" si="1"/>
        <v/>
      </c>
      <c r="B155" s="46"/>
      <c r="C155" s="47"/>
      <c r="D155" s="47"/>
      <c r="E155" s="47"/>
      <c r="F155" s="47"/>
      <c r="G155" s="48"/>
      <c r="H155" s="41"/>
      <c r="I155" s="42"/>
      <c r="J155" s="41"/>
      <c r="K155" s="41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7" t="str">
        <f t="shared" si="1"/>
        <v/>
      </c>
      <c r="B156" s="46"/>
      <c r="C156" s="47"/>
      <c r="D156" s="47"/>
      <c r="E156" s="47"/>
      <c r="F156" s="47"/>
      <c r="G156" s="48"/>
      <c r="H156" s="41"/>
      <c r="I156" s="42"/>
      <c r="J156" s="41"/>
      <c r="K156" s="41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7" t="str">
        <f t="shared" si="1"/>
        <v/>
      </c>
      <c r="B157" s="46"/>
      <c r="C157" s="47"/>
      <c r="D157" s="47"/>
      <c r="E157" s="47"/>
      <c r="F157" s="47"/>
      <c r="G157" s="48"/>
      <c r="H157" s="41"/>
      <c r="I157" s="42"/>
      <c r="J157" s="41"/>
      <c r="K157" s="41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7" t="str">
        <f t="shared" si="1"/>
        <v/>
      </c>
      <c r="B158" s="46"/>
      <c r="C158" s="47"/>
      <c r="D158" s="47"/>
      <c r="E158" s="47"/>
      <c r="F158" s="47"/>
      <c r="G158" s="48"/>
      <c r="H158" s="41"/>
      <c r="I158" s="42"/>
      <c r="J158" s="41"/>
      <c r="K158" s="41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7" t="str">
        <f t="shared" si="1"/>
        <v/>
      </c>
      <c r="B159" s="46"/>
      <c r="C159" s="47"/>
      <c r="D159" s="47"/>
      <c r="E159" s="47"/>
      <c r="F159" s="47"/>
      <c r="G159" s="48"/>
      <c r="H159" s="41"/>
      <c r="I159" s="42"/>
      <c r="J159" s="41"/>
      <c r="K159" s="41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7" t="str">
        <f t="shared" si="1"/>
        <v/>
      </c>
      <c r="B160" s="46"/>
      <c r="C160" s="47"/>
      <c r="D160" s="47"/>
      <c r="E160" s="47"/>
      <c r="F160" s="47"/>
      <c r="G160" s="48"/>
      <c r="H160" s="41"/>
      <c r="I160" s="42"/>
      <c r="J160" s="41"/>
      <c r="K160" s="41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7" t="str">
        <f t="shared" si="1"/>
        <v/>
      </c>
      <c r="B161" s="46"/>
      <c r="C161" s="47"/>
      <c r="D161" s="47"/>
      <c r="E161" s="47"/>
      <c r="F161" s="47"/>
      <c r="G161" s="48"/>
      <c r="H161" s="41"/>
      <c r="I161" s="42"/>
      <c r="J161" s="41"/>
      <c r="K161" s="41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7" t="str">
        <f t="shared" si="1"/>
        <v/>
      </c>
      <c r="B162" s="46"/>
      <c r="C162" s="47"/>
      <c r="D162" s="47"/>
      <c r="E162" s="47"/>
      <c r="F162" s="47"/>
      <c r="G162" s="48"/>
      <c r="H162" s="41"/>
      <c r="I162" s="42"/>
      <c r="J162" s="41"/>
      <c r="K162" s="41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7" t="str">
        <f t="shared" si="1"/>
        <v/>
      </c>
      <c r="B163" s="46"/>
      <c r="C163" s="47"/>
      <c r="D163" s="47"/>
      <c r="E163" s="47"/>
      <c r="F163" s="47"/>
      <c r="G163" s="48"/>
      <c r="H163" s="41"/>
      <c r="I163" s="42"/>
      <c r="J163" s="41"/>
      <c r="K163" s="41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7" t="str">
        <f t="shared" si="1"/>
        <v/>
      </c>
      <c r="B164" s="46"/>
      <c r="C164" s="47"/>
      <c r="D164" s="47"/>
      <c r="E164" s="47"/>
      <c r="F164" s="47"/>
      <c r="G164" s="48"/>
      <c r="H164" s="41"/>
      <c r="I164" s="42"/>
      <c r="J164" s="41"/>
      <c r="K164" s="41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7" t="str">
        <f t="shared" si="1"/>
        <v/>
      </c>
      <c r="B165" s="46"/>
      <c r="C165" s="47"/>
      <c r="D165" s="47"/>
      <c r="E165" s="47"/>
      <c r="F165" s="47"/>
      <c r="G165" s="48"/>
      <c r="H165" s="41"/>
      <c r="I165" s="42"/>
      <c r="J165" s="41"/>
      <c r="K165" s="41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7" t="str">
        <f t="shared" si="1"/>
        <v/>
      </c>
      <c r="B166" s="46"/>
      <c r="C166" s="47"/>
      <c r="D166" s="47"/>
      <c r="E166" s="47"/>
      <c r="F166" s="47"/>
      <c r="G166" s="48"/>
      <c r="H166" s="41"/>
      <c r="I166" s="42"/>
      <c r="J166" s="41"/>
      <c r="K166" s="41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7" t="str">
        <f t="shared" si="1"/>
        <v/>
      </c>
      <c r="B167" s="46"/>
      <c r="C167" s="47"/>
      <c r="D167" s="47"/>
      <c r="E167" s="47"/>
      <c r="F167" s="47"/>
      <c r="G167" s="48"/>
      <c r="H167" s="41"/>
      <c r="I167" s="42"/>
      <c r="J167" s="41"/>
      <c r="K167" s="41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7" t="str">
        <f t="shared" si="1"/>
        <v/>
      </c>
      <c r="B168" s="46"/>
      <c r="C168" s="47"/>
      <c r="D168" s="47"/>
      <c r="E168" s="47"/>
      <c r="F168" s="47"/>
      <c r="G168" s="48"/>
      <c r="H168" s="41"/>
      <c r="I168" s="42"/>
      <c r="J168" s="41"/>
      <c r="K168" s="41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7" t="str">
        <f t="shared" si="1"/>
        <v/>
      </c>
      <c r="B169" s="46"/>
      <c r="C169" s="47"/>
      <c r="D169" s="47"/>
      <c r="E169" s="47"/>
      <c r="F169" s="47"/>
      <c r="G169" s="48"/>
      <c r="H169" s="41"/>
      <c r="I169" s="42"/>
      <c r="J169" s="41"/>
      <c r="K169" s="41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7" t="str">
        <f t="shared" si="1"/>
        <v/>
      </c>
      <c r="B170" s="46"/>
      <c r="C170" s="47"/>
      <c r="D170" s="47"/>
      <c r="E170" s="47"/>
      <c r="F170" s="47"/>
      <c r="G170" s="48"/>
      <c r="H170" s="41"/>
      <c r="I170" s="42"/>
      <c r="J170" s="41"/>
      <c r="K170" s="41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7" t="str">
        <f t="shared" si="1"/>
        <v/>
      </c>
      <c r="B171" s="46"/>
      <c r="C171" s="47"/>
      <c r="D171" s="47"/>
      <c r="E171" s="47"/>
      <c r="F171" s="47"/>
      <c r="G171" s="48"/>
      <c r="H171" s="41"/>
      <c r="I171" s="42"/>
      <c r="J171" s="41"/>
      <c r="K171" s="41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7" t="str">
        <f t="shared" si="1"/>
        <v/>
      </c>
      <c r="B172" s="46"/>
      <c r="C172" s="47"/>
      <c r="D172" s="47"/>
      <c r="E172" s="47"/>
      <c r="F172" s="47"/>
      <c r="G172" s="48"/>
      <c r="H172" s="41"/>
      <c r="I172" s="42"/>
      <c r="J172" s="41"/>
      <c r="K172" s="41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7" t="str">
        <f t="shared" si="1"/>
        <v/>
      </c>
      <c r="B173" s="46"/>
      <c r="C173" s="47"/>
      <c r="D173" s="47"/>
      <c r="E173" s="47"/>
      <c r="F173" s="47"/>
      <c r="G173" s="48"/>
      <c r="H173" s="41"/>
      <c r="I173" s="42"/>
      <c r="J173" s="41"/>
      <c r="K173" s="41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7" t="str">
        <f t="shared" si="1"/>
        <v/>
      </c>
      <c r="B174" s="46"/>
      <c r="C174" s="47"/>
      <c r="D174" s="47"/>
      <c r="E174" s="47"/>
      <c r="F174" s="47"/>
      <c r="G174" s="48"/>
      <c r="H174" s="41"/>
      <c r="I174" s="42"/>
      <c r="J174" s="41"/>
      <c r="K174" s="41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7" t="str">
        <f t="shared" si="1"/>
        <v/>
      </c>
      <c r="B175" s="46"/>
      <c r="C175" s="47"/>
      <c r="D175" s="47"/>
      <c r="E175" s="47"/>
      <c r="F175" s="47"/>
      <c r="G175" s="48"/>
      <c r="H175" s="41"/>
      <c r="I175" s="42"/>
      <c r="J175" s="41"/>
      <c r="K175" s="41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7" t="str">
        <f t="shared" si="1"/>
        <v/>
      </c>
      <c r="B176" s="46"/>
      <c r="C176" s="47"/>
      <c r="D176" s="47"/>
      <c r="E176" s="47"/>
      <c r="F176" s="47"/>
      <c r="G176" s="48"/>
      <c r="H176" s="41"/>
      <c r="I176" s="42"/>
      <c r="J176" s="41"/>
      <c r="K176" s="41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7" t="str">
        <f t="shared" si="1"/>
        <v/>
      </c>
      <c r="B177" s="46"/>
      <c r="C177" s="47"/>
      <c r="D177" s="47"/>
      <c r="E177" s="47"/>
      <c r="F177" s="47"/>
      <c r="G177" s="48"/>
      <c r="H177" s="41"/>
      <c r="I177" s="42"/>
      <c r="J177" s="41"/>
      <c r="K177" s="41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7" t="str">
        <f t="shared" si="1"/>
        <v/>
      </c>
      <c r="B178" s="46"/>
      <c r="C178" s="47"/>
      <c r="D178" s="47"/>
      <c r="E178" s="47"/>
      <c r="F178" s="47"/>
      <c r="G178" s="48"/>
      <c r="H178" s="41"/>
      <c r="I178" s="42"/>
      <c r="J178" s="41"/>
      <c r="K178" s="41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7" t="str">
        <f t="shared" si="1"/>
        <v/>
      </c>
      <c r="B179" s="46"/>
      <c r="C179" s="47"/>
      <c r="D179" s="47"/>
      <c r="E179" s="47"/>
      <c r="F179" s="47"/>
      <c r="G179" s="48"/>
      <c r="H179" s="41"/>
      <c r="I179" s="42"/>
      <c r="J179" s="41"/>
      <c r="K179" s="41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7" t="str">
        <f t="shared" si="1"/>
        <v/>
      </c>
      <c r="B180" s="46"/>
      <c r="C180" s="47"/>
      <c r="D180" s="47"/>
      <c r="E180" s="47"/>
      <c r="F180" s="47"/>
      <c r="G180" s="48"/>
      <c r="H180" s="41"/>
      <c r="I180" s="42"/>
      <c r="J180" s="41"/>
      <c r="K180" s="41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7" t="str">
        <f t="shared" si="1"/>
        <v/>
      </c>
      <c r="B181" s="46"/>
      <c r="C181" s="47"/>
      <c r="D181" s="47"/>
      <c r="E181" s="47"/>
      <c r="F181" s="47"/>
      <c r="G181" s="48"/>
      <c r="H181" s="41"/>
      <c r="I181" s="42"/>
      <c r="J181" s="41"/>
      <c r="K181" s="41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7" t="str">
        <f t="shared" si="1"/>
        <v/>
      </c>
      <c r="B182" s="46"/>
      <c r="C182" s="47"/>
      <c r="D182" s="47"/>
      <c r="E182" s="47"/>
      <c r="F182" s="47"/>
      <c r="G182" s="48"/>
      <c r="H182" s="41"/>
      <c r="I182" s="42"/>
      <c r="J182" s="41"/>
      <c r="K182" s="41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7" t="str">
        <f t="shared" si="1"/>
        <v/>
      </c>
      <c r="B183" s="46"/>
      <c r="C183" s="47"/>
      <c r="D183" s="47"/>
      <c r="E183" s="47"/>
      <c r="F183" s="47"/>
      <c r="G183" s="48"/>
      <c r="H183" s="41"/>
      <c r="I183" s="42"/>
      <c r="J183" s="41"/>
      <c r="K183" s="41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7" t="str">
        <f t="shared" si="1"/>
        <v/>
      </c>
      <c r="B184" s="46"/>
      <c r="C184" s="47"/>
      <c r="D184" s="47"/>
      <c r="E184" s="47"/>
      <c r="F184" s="47"/>
      <c r="G184" s="48"/>
      <c r="H184" s="41"/>
      <c r="I184" s="42"/>
      <c r="J184" s="41"/>
      <c r="K184" s="41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7" t="str">
        <f t="shared" si="1"/>
        <v/>
      </c>
      <c r="B185" s="46"/>
      <c r="C185" s="47"/>
      <c r="D185" s="47"/>
      <c r="E185" s="47"/>
      <c r="F185" s="47"/>
      <c r="G185" s="48"/>
      <c r="H185" s="41"/>
      <c r="I185" s="42"/>
      <c r="J185" s="41"/>
      <c r="K185" s="41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7" t="str">
        <f t="shared" si="1"/>
        <v/>
      </c>
      <c r="B186" s="46"/>
      <c r="C186" s="47"/>
      <c r="D186" s="47"/>
      <c r="E186" s="47"/>
      <c r="F186" s="47"/>
      <c r="G186" s="48"/>
      <c r="H186" s="41"/>
      <c r="I186" s="42"/>
      <c r="J186" s="41"/>
      <c r="K186" s="41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7" t="str">
        <f t="shared" si="1"/>
        <v/>
      </c>
      <c r="B187" s="46"/>
      <c r="C187" s="47"/>
      <c r="D187" s="47"/>
      <c r="E187" s="47"/>
      <c r="F187" s="47"/>
      <c r="G187" s="48"/>
      <c r="H187" s="41"/>
      <c r="I187" s="42"/>
      <c r="J187" s="41"/>
      <c r="K187" s="4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7" t="str">
        <f t="shared" si="1"/>
        <v/>
      </c>
      <c r="B188" s="46"/>
      <c r="C188" s="47"/>
      <c r="D188" s="47"/>
      <c r="E188" s="47"/>
      <c r="F188" s="47"/>
      <c r="G188" s="48"/>
      <c r="H188" s="41"/>
      <c r="I188" s="42"/>
      <c r="J188" s="41"/>
      <c r="K188" s="4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7" t="str">
        <f t="shared" si="1"/>
        <v/>
      </c>
      <c r="B189" s="46"/>
      <c r="C189" s="47"/>
      <c r="D189" s="47"/>
      <c r="E189" s="47"/>
      <c r="F189" s="47"/>
      <c r="G189" s="48"/>
      <c r="H189" s="41"/>
      <c r="I189" s="42"/>
      <c r="J189" s="41"/>
      <c r="K189" s="4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7" t="str">
        <f t="shared" si="1"/>
        <v/>
      </c>
      <c r="B190" s="46"/>
      <c r="C190" s="47"/>
      <c r="D190" s="47"/>
      <c r="E190" s="47"/>
      <c r="F190" s="47"/>
      <c r="G190" s="48"/>
      <c r="H190" s="41"/>
      <c r="I190" s="42"/>
      <c r="J190" s="41"/>
      <c r="K190" s="4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7" t="str">
        <f t="shared" si="1"/>
        <v/>
      </c>
      <c r="B191" s="46"/>
      <c r="C191" s="47"/>
      <c r="D191" s="47"/>
      <c r="E191" s="47"/>
      <c r="F191" s="47"/>
      <c r="G191" s="48"/>
      <c r="H191" s="41"/>
      <c r="I191" s="42"/>
      <c r="J191" s="41"/>
      <c r="K191" s="41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7" t="str">
        <f t="shared" si="1"/>
        <v/>
      </c>
      <c r="B192" s="46"/>
      <c r="C192" s="47"/>
      <c r="D192" s="47"/>
      <c r="E192" s="47"/>
      <c r="F192" s="47"/>
      <c r="G192" s="48"/>
      <c r="H192" s="41"/>
      <c r="I192" s="42"/>
      <c r="J192" s="41"/>
      <c r="K192" s="41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7" t="str">
        <f t="shared" si="1"/>
        <v/>
      </c>
      <c r="B193" s="46"/>
      <c r="C193" s="47"/>
      <c r="D193" s="47"/>
      <c r="E193" s="47"/>
      <c r="F193" s="47"/>
      <c r="G193" s="48"/>
      <c r="H193" s="41"/>
      <c r="I193" s="42"/>
      <c r="J193" s="41"/>
      <c r="K193" s="41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7" t="str">
        <f t="shared" si="1"/>
        <v/>
      </c>
      <c r="B194" s="46"/>
      <c r="C194" s="47"/>
      <c r="D194" s="47"/>
      <c r="E194" s="47"/>
      <c r="F194" s="47"/>
      <c r="G194" s="48"/>
      <c r="H194" s="41"/>
      <c r="I194" s="42"/>
      <c r="J194" s="41"/>
      <c r="K194" s="41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7" t="str">
        <f t="shared" si="1"/>
        <v/>
      </c>
      <c r="B195" s="46"/>
      <c r="C195" s="47"/>
      <c r="D195" s="47"/>
      <c r="E195" s="47"/>
      <c r="F195" s="47"/>
      <c r="G195" s="48"/>
      <c r="H195" s="41"/>
      <c r="I195" s="42"/>
      <c r="J195" s="41"/>
      <c r="K195" s="41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7" t="str">
        <f t="shared" si="1"/>
        <v/>
      </c>
      <c r="B196" s="46"/>
      <c r="C196" s="47"/>
      <c r="D196" s="47"/>
      <c r="E196" s="47"/>
      <c r="F196" s="47"/>
      <c r="G196" s="48"/>
      <c r="H196" s="41"/>
      <c r="I196" s="42"/>
      <c r="J196" s="41"/>
      <c r="K196" s="41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7" t="str">
        <f t="shared" si="1"/>
        <v/>
      </c>
      <c r="B197" s="46"/>
      <c r="C197" s="47"/>
      <c r="D197" s="47"/>
      <c r="E197" s="47"/>
      <c r="F197" s="47"/>
      <c r="G197" s="48"/>
      <c r="H197" s="41"/>
      <c r="I197" s="42"/>
      <c r="J197" s="41"/>
      <c r="K197" s="41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7" t="str">
        <f t="shared" si="1"/>
        <v/>
      </c>
      <c r="B198" s="46"/>
      <c r="C198" s="47"/>
      <c r="D198" s="47"/>
      <c r="E198" s="47"/>
      <c r="F198" s="47"/>
      <c r="G198" s="48"/>
      <c r="H198" s="41"/>
      <c r="I198" s="42"/>
      <c r="J198" s="41"/>
      <c r="K198" s="41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7" t="str">
        <f t="shared" si="1"/>
        <v/>
      </c>
      <c r="B199" s="46"/>
      <c r="C199" s="47"/>
      <c r="D199" s="47"/>
      <c r="E199" s="47"/>
      <c r="F199" s="47"/>
      <c r="G199" s="48"/>
      <c r="H199" s="41"/>
      <c r="I199" s="42"/>
      <c r="J199" s="41"/>
      <c r="K199" s="41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7" t="str">
        <f t="shared" si="1"/>
        <v/>
      </c>
      <c r="B200" s="46"/>
      <c r="C200" s="47"/>
      <c r="D200" s="47"/>
      <c r="E200" s="47"/>
      <c r="F200" s="47"/>
      <c r="G200" s="48"/>
      <c r="H200" s="41"/>
      <c r="I200" s="42"/>
      <c r="J200" s="41"/>
      <c r="K200" s="41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7" t="str">
        <f t="shared" si="1"/>
        <v/>
      </c>
      <c r="B201" s="46"/>
      <c r="C201" s="47"/>
      <c r="D201" s="47"/>
      <c r="E201" s="47"/>
      <c r="F201" s="47"/>
      <c r="G201" s="48"/>
      <c r="H201" s="41"/>
      <c r="I201" s="42"/>
      <c r="J201" s="41"/>
      <c r="K201" s="41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7" t="str">
        <f t="shared" si="1"/>
        <v/>
      </c>
      <c r="B202" s="46"/>
      <c r="C202" s="47"/>
      <c r="D202" s="47"/>
      <c r="E202" s="47"/>
      <c r="F202" s="47"/>
      <c r="G202" s="48"/>
      <c r="H202" s="41"/>
      <c r="I202" s="42"/>
      <c r="J202" s="41"/>
      <c r="K202" s="41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7" t="str">
        <f t="shared" si="1"/>
        <v/>
      </c>
      <c r="B203" s="46"/>
      <c r="C203" s="47"/>
      <c r="D203" s="47"/>
      <c r="E203" s="47"/>
      <c r="F203" s="47"/>
      <c r="G203" s="48"/>
      <c r="H203" s="41"/>
      <c r="I203" s="42"/>
      <c r="J203" s="41"/>
      <c r="K203" s="41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7" t="str">
        <f t="shared" si="1"/>
        <v/>
      </c>
      <c r="B204" s="46"/>
      <c r="C204" s="47"/>
      <c r="D204" s="47"/>
      <c r="E204" s="47"/>
      <c r="F204" s="47"/>
      <c r="G204" s="48"/>
      <c r="H204" s="41"/>
      <c r="I204" s="42"/>
      <c r="J204" s="41"/>
      <c r="K204" s="41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7" t="str">
        <f t="shared" si="1"/>
        <v/>
      </c>
      <c r="B205" s="46"/>
      <c r="C205" s="47"/>
      <c r="D205" s="47"/>
      <c r="E205" s="47"/>
      <c r="F205" s="47"/>
      <c r="G205" s="48"/>
      <c r="H205" s="41"/>
      <c r="I205" s="42"/>
      <c r="J205" s="41"/>
      <c r="K205" s="41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7" t="str">
        <f t="shared" si="1"/>
        <v/>
      </c>
      <c r="B206" s="46"/>
      <c r="C206" s="47"/>
      <c r="D206" s="47"/>
      <c r="E206" s="47"/>
      <c r="F206" s="47"/>
      <c r="G206" s="48"/>
      <c r="H206" s="41"/>
      <c r="I206" s="42"/>
      <c r="J206" s="41"/>
      <c r="K206" s="41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7" t="str">
        <f t="shared" si="1"/>
        <v/>
      </c>
      <c r="B207" s="46"/>
      <c r="C207" s="47"/>
      <c r="D207" s="47"/>
      <c r="E207" s="47"/>
      <c r="F207" s="47"/>
      <c r="G207" s="48"/>
      <c r="H207" s="41"/>
      <c r="I207" s="42"/>
      <c r="J207" s="41"/>
      <c r="K207" s="41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7" t="str">
        <f t="shared" si="1"/>
        <v/>
      </c>
      <c r="B208" s="46"/>
      <c r="C208" s="47"/>
      <c r="D208" s="47"/>
      <c r="E208" s="47"/>
      <c r="F208" s="47"/>
      <c r="G208" s="48"/>
      <c r="H208" s="41"/>
      <c r="I208" s="42"/>
      <c r="J208" s="41"/>
      <c r="K208" s="41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7" t="str">
        <f t="shared" si="1"/>
        <v/>
      </c>
      <c r="B209" s="46"/>
      <c r="C209" s="47"/>
      <c r="D209" s="47"/>
      <c r="E209" s="47"/>
      <c r="F209" s="47"/>
      <c r="G209" s="48"/>
      <c r="H209" s="41"/>
      <c r="I209" s="42"/>
      <c r="J209" s="41"/>
      <c r="K209" s="41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7" t="str">
        <f t="shared" si="1"/>
        <v/>
      </c>
      <c r="B210" s="46"/>
      <c r="C210" s="47"/>
      <c r="D210" s="47"/>
      <c r="E210" s="47"/>
      <c r="F210" s="47"/>
      <c r="G210" s="48"/>
      <c r="H210" s="41"/>
      <c r="I210" s="42"/>
      <c r="J210" s="41"/>
      <c r="K210" s="41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7" t="str">
        <f t="shared" si="1"/>
        <v/>
      </c>
      <c r="B211" s="46"/>
      <c r="C211" s="47"/>
      <c r="D211" s="47"/>
      <c r="E211" s="47"/>
      <c r="F211" s="47"/>
      <c r="G211" s="48"/>
      <c r="H211" s="41"/>
      <c r="I211" s="42"/>
      <c r="J211" s="41"/>
      <c r="K211" s="41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7" t="str">
        <f t="shared" si="1"/>
        <v/>
      </c>
      <c r="B212" s="46"/>
      <c r="C212" s="47"/>
      <c r="D212" s="47"/>
      <c r="E212" s="47"/>
      <c r="F212" s="47"/>
      <c r="G212" s="48"/>
      <c r="H212" s="41"/>
      <c r="I212" s="42"/>
      <c r="J212" s="41"/>
      <c r="K212" s="41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7" t="str">
        <f t="shared" si="1"/>
        <v/>
      </c>
      <c r="B213" s="46"/>
      <c r="C213" s="47"/>
      <c r="D213" s="47"/>
      <c r="E213" s="47"/>
      <c r="F213" s="47"/>
      <c r="G213" s="48"/>
      <c r="H213" s="41"/>
      <c r="I213" s="42"/>
      <c r="J213" s="41"/>
      <c r="K213" s="41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7" t="str">
        <f t="shared" si="1"/>
        <v/>
      </c>
      <c r="B214" s="46"/>
      <c r="C214" s="47"/>
      <c r="D214" s="47"/>
      <c r="E214" s="47"/>
      <c r="F214" s="47"/>
      <c r="G214" s="48"/>
      <c r="H214" s="41"/>
      <c r="I214" s="42"/>
      <c r="J214" s="41"/>
      <c r="K214" s="41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7" t="str">
        <f t="shared" si="1"/>
        <v/>
      </c>
      <c r="B215" s="46"/>
      <c r="C215" s="47"/>
      <c r="D215" s="47"/>
      <c r="E215" s="47"/>
      <c r="F215" s="47"/>
      <c r="G215" s="48"/>
      <c r="H215" s="41"/>
      <c r="I215" s="42"/>
      <c r="J215" s="41"/>
      <c r="K215" s="41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7" t="str">
        <f t="shared" si="1"/>
        <v/>
      </c>
      <c r="B216" s="46"/>
      <c r="C216" s="47"/>
      <c r="D216" s="47"/>
      <c r="E216" s="47"/>
      <c r="F216" s="47"/>
      <c r="G216" s="48"/>
      <c r="H216" s="41"/>
      <c r="I216" s="42"/>
      <c r="J216" s="41"/>
      <c r="K216" s="41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7" t="str">
        <f t="shared" si="1"/>
        <v/>
      </c>
      <c r="B217" s="46"/>
      <c r="C217" s="47"/>
      <c r="D217" s="47"/>
      <c r="E217" s="47"/>
      <c r="F217" s="47"/>
      <c r="G217" s="48"/>
      <c r="H217" s="41"/>
      <c r="I217" s="42"/>
      <c r="J217" s="41"/>
      <c r="K217" s="41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7" t="str">
        <f t="shared" si="1"/>
        <v/>
      </c>
      <c r="B218" s="46"/>
      <c r="C218" s="47"/>
      <c r="D218" s="47"/>
      <c r="E218" s="47"/>
      <c r="F218" s="47"/>
      <c r="G218" s="48"/>
      <c r="H218" s="41"/>
      <c r="I218" s="42"/>
      <c r="J218" s="41"/>
      <c r="K218" s="41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7" t="str">
        <f t="shared" si="1"/>
        <v/>
      </c>
      <c r="B219" s="46"/>
      <c r="C219" s="47"/>
      <c r="D219" s="47"/>
      <c r="E219" s="47"/>
      <c r="F219" s="47"/>
      <c r="G219" s="48"/>
      <c r="H219" s="41"/>
      <c r="I219" s="42"/>
      <c r="J219" s="41"/>
      <c r="K219" s="41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7" t="str">
        <f t="shared" si="1"/>
        <v/>
      </c>
      <c r="B220" s="46"/>
      <c r="C220" s="47"/>
      <c r="D220" s="47"/>
      <c r="E220" s="47"/>
      <c r="F220" s="47"/>
      <c r="G220" s="48"/>
      <c r="H220" s="41"/>
      <c r="I220" s="42"/>
      <c r="J220" s="41"/>
      <c r="K220" s="41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7" t="str">
        <f t="shared" si="1"/>
        <v/>
      </c>
      <c r="B221" s="46"/>
      <c r="C221" s="47"/>
      <c r="D221" s="47"/>
      <c r="E221" s="47"/>
      <c r="F221" s="47"/>
      <c r="G221" s="48"/>
      <c r="H221" s="41"/>
      <c r="I221" s="42"/>
      <c r="J221" s="41"/>
      <c r="K221" s="41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7" t="str">
        <f t="shared" si="1"/>
        <v/>
      </c>
      <c r="B222" s="46"/>
      <c r="C222" s="47"/>
      <c r="D222" s="47"/>
      <c r="E222" s="47"/>
      <c r="F222" s="47"/>
      <c r="G222" s="48"/>
      <c r="H222" s="41"/>
      <c r="I222" s="42"/>
      <c r="J222" s="41"/>
      <c r="K222" s="41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7" t="str">
        <f t="shared" si="1"/>
        <v/>
      </c>
      <c r="B223" s="46"/>
      <c r="C223" s="47"/>
      <c r="D223" s="47"/>
      <c r="E223" s="47"/>
      <c r="F223" s="47"/>
      <c r="G223" s="48"/>
      <c r="H223" s="41"/>
      <c r="I223" s="42"/>
      <c r="J223" s="41"/>
      <c r="K223" s="41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7" t="str">
        <f t="shared" si="1"/>
        <v/>
      </c>
      <c r="B224" s="46"/>
      <c r="C224" s="47"/>
      <c r="D224" s="47"/>
      <c r="E224" s="47"/>
      <c r="F224" s="47"/>
      <c r="G224" s="48"/>
      <c r="H224" s="41"/>
      <c r="I224" s="42"/>
      <c r="J224" s="41"/>
      <c r="K224" s="41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7" t="str">
        <f t="shared" si="1"/>
        <v/>
      </c>
      <c r="B225" s="46"/>
      <c r="C225" s="47"/>
      <c r="D225" s="47"/>
      <c r="E225" s="47"/>
      <c r="F225" s="47"/>
      <c r="G225" s="48"/>
      <c r="H225" s="41"/>
      <c r="I225" s="42"/>
      <c r="J225" s="41"/>
      <c r="K225" s="41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7" t="str">
        <f t="shared" si="1"/>
        <v/>
      </c>
      <c r="B226" s="46"/>
      <c r="C226" s="47"/>
      <c r="D226" s="47"/>
      <c r="E226" s="47"/>
      <c r="F226" s="47"/>
      <c r="G226" s="48"/>
      <c r="H226" s="41"/>
      <c r="I226" s="42"/>
      <c r="J226" s="41"/>
      <c r="K226" s="41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7" t="str">
        <f t="shared" si="1"/>
        <v/>
      </c>
      <c r="B227" s="46"/>
      <c r="C227" s="47"/>
      <c r="D227" s="47"/>
      <c r="E227" s="47"/>
      <c r="F227" s="47"/>
      <c r="G227" s="48"/>
      <c r="H227" s="41"/>
      <c r="I227" s="42"/>
      <c r="J227" s="41"/>
      <c r="K227" s="41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7" t="str">
        <f t="shared" si="1"/>
        <v/>
      </c>
      <c r="B228" s="46"/>
      <c r="C228" s="47"/>
      <c r="D228" s="47"/>
      <c r="E228" s="47"/>
      <c r="F228" s="47"/>
      <c r="G228" s="48"/>
      <c r="H228" s="41"/>
      <c r="I228" s="42"/>
      <c r="J228" s="41"/>
      <c r="K228" s="41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7" t="str">
        <f t="shared" si="1"/>
        <v/>
      </c>
      <c r="B229" s="46"/>
      <c r="C229" s="47"/>
      <c r="D229" s="47"/>
      <c r="E229" s="47"/>
      <c r="F229" s="47"/>
      <c r="G229" s="48"/>
      <c r="H229" s="41"/>
      <c r="I229" s="42"/>
      <c r="J229" s="41"/>
      <c r="K229" s="41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7" t="str">
        <f t="shared" si="1"/>
        <v/>
      </c>
      <c r="B230" s="46"/>
      <c r="C230" s="47"/>
      <c r="D230" s="47"/>
      <c r="E230" s="47"/>
      <c r="F230" s="47"/>
      <c r="G230" s="48"/>
      <c r="H230" s="41"/>
      <c r="I230" s="42"/>
      <c r="J230" s="41"/>
      <c r="K230" s="41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7" t="str">
        <f t="shared" si="1"/>
        <v/>
      </c>
      <c r="B231" s="46"/>
      <c r="C231" s="47"/>
      <c r="D231" s="47"/>
      <c r="E231" s="47"/>
      <c r="F231" s="47"/>
      <c r="G231" s="48"/>
      <c r="H231" s="41"/>
      <c r="I231" s="42"/>
      <c r="J231" s="41"/>
      <c r="K231" s="41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7" t="str">
        <f t="shared" si="1"/>
        <v/>
      </c>
      <c r="B232" s="46"/>
      <c r="C232" s="47"/>
      <c r="D232" s="47"/>
      <c r="E232" s="47"/>
      <c r="F232" s="47"/>
      <c r="G232" s="48"/>
      <c r="H232" s="41"/>
      <c r="I232" s="42"/>
      <c r="J232" s="41"/>
      <c r="K232" s="41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7" t="str">
        <f t="shared" si="1"/>
        <v/>
      </c>
      <c r="B233" s="46"/>
      <c r="C233" s="47"/>
      <c r="D233" s="47"/>
      <c r="E233" s="47"/>
      <c r="F233" s="47"/>
      <c r="G233" s="48"/>
      <c r="H233" s="41"/>
      <c r="I233" s="42"/>
      <c r="J233" s="41"/>
      <c r="K233" s="41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7" t="str">
        <f t="shared" si="1"/>
        <v/>
      </c>
      <c r="B234" s="46"/>
      <c r="C234" s="47"/>
      <c r="D234" s="47"/>
      <c r="E234" s="47"/>
      <c r="F234" s="47"/>
      <c r="G234" s="48"/>
      <c r="H234" s="41"/>
      <c r="I234" s="42"/>
      <c r="J234" s="41"/>
      <c r="K234" s="41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7" t="str">
        <f t="shared" si="1"/>
        <v/>
      </c>
      <c r="B235" s="46"/>
      <c r="C235" s="47"/>
      <c r="D235" s="47"/>
      <c r="E235" s="47"/>
      <c r="F235" s="47"/>
      <c r="G235" s="48"/>
      <c r="H235" s="41"/>
      <c r="I235" s="42"/>
      <c r="J235" s="41"/>
      <c r="K235" s="41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7" t="str">
        <f t="shared" si="1"/>
        <v/>
      </c>
      <c r="B236" s="46"/>
      <c r="C236" s="47"/>
      <c r="D236" s="47"/>
      <c r="E236" s="47"/>
      <c r="F236" s="47"/>
      <c r="G236" s="48"/>
      <c r="H236" s="41"/>
      <c r="I236" s="42"/>
      <c r="J236" s="41"/>
      <c r="K236" s="41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7" t="str">
        <f t="shared" si="1"/>
        <v/>
      </c>
      <c r="B237" s="46"/>
      <c r="C237" s="47"/>
      <c r="D237" s="47"/>
      <c r="E237" s="47"/>
      <c r="F237" s="47"/>
      <c r="G237" s="48"/>
      <c r="H237" s="41"/>
      <c r="I237" s="42"/>
      <c r="J237" s="41"/>
      <c r="K237" s="41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7" t="str">
        <f t="shared" si="1"/>
        <v/>
      </c>
      <c r="B238" s="46"/>
      <c r="C238" s="47"/>
      <c r="D238" s="47"/>
      <c r="E238" s="47"/>
      <c r="F238" s="47"/>
      <c r="G238" s="48"/>
      <c r="H238" s="41"/>
      <c r="I238" s="42"/>
      <c r="J238" s="41"/>
      <c r="K238" s="41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7" t="str">
        <f t="shared" si="1"/>
        <v/>
      </c>
      <c r="B239" s="46"/>
      <c r="C239" s="47"/>
      <c r="D239" s="47"/>
      <c r="E239" s="47"/>
      <c r="F239" s="47"/>
      <c r="G239" s="48"/>
      <c r="H239" s="41"/>
      <c r="I239" s="42"/>
      <c r="J239" s="41"/>
      <c r="K239" s="41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7" t="str">
        <f t="shared" si="1"/>
        <v/>
      </c>
      <c r="B240" s="46"/>
      <c r="C240" s="47"/>
      <c r="D240" s="47"/>
      <c r="E240" s="47"/>
      <c r="F240" s="47"/>
      <c r="G240" s="48"/>
      <c r="H240" s="41"/>
      <c r="I240" s="42"/>
      <c r="J240" s="41"/>
      <c r="K240" s="41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7" t="str">
        <f t="shared" si="1"/>
        <v/>
      </c>
      <c r="B241" s="46"/>
      <c r="C241" s="47"/>
      <c r="D241" s="47"/>
      <c r="E241" s="47"/>
      <c r="F241" s="47"/>
      <c r="G241" s="48"/>
      <c r="H241" s="41"/>
      <c r="I241" s="42"/>
      <c r="J241" s="41"/>
      <c r="K241" s="41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7" t="str">
        <f t="shared" si="1"/>
        <v/>
      </c>
      <c r="B242" s="46"/>
      <c r="C242" s="47"/>
      <c r="D242" s="47"/>
      <c r="E242" s="47"/>
      <c r="F242" s="47"/>
      <c r="G242" s="48"/>
      <c r="H242" s="41"/>
      <c r="I242" s="42"/>
      <c r="J242" s="41"/>
      <c r="K242" s="41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7" t="str">
        <f t="shared" si="1"/>
        <v/>
      </c>
      <c r="B243" s="46"/>
      <c r="C243" s="47"/>
      <c r="D243" s="47"/>
      <c r="E243" s="47"/>
      <c r="F243" s="47"/>
      <c r="G243" s="48"/>
      <c r="H243" s="41"/>
      <c r="I243" s="42"/>
      <c r="J243" s="41"/>
      <c r="K243" s="41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7" t="str">
        <f t="shared" si="1"/>
        <v/>
      </c>
      <c r="B244" s="46"/>
      <c r="C244" s="47"/>
      <c r="D244" s="47"/>
      <c r="E244" s="47"/>
      <c r="F244" s="47"/>
      <c r="G244" s="48"/>
      <c r="H244" s="41"/>
      <c r="I244" s="42"/>
      <c r="J244" s="41"/>
      <c r="K244" s="41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7" t="str">
        <f t="shared" si="1"/>
        <v/>
      </c>
      <c r="B245" s="46"/>
      <c r="C245" s="47"/>
      <c r="D245" s="47"/>
      <c r="E245" s="47"/>
      <c r="F245" s="47"/>
      <c r="G245" s="48"/>
      <c r="H245" s="41"/>
      <c r="I245" s="42"/>
      <c r="J245" s="41"/>
      <c r="K245" s="41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7" t="str">
        <f t="shared" si="1"/>
        <v/>
      </c>
      <c r="B246" s="46"/>
      <c r="C246" s="47"/>
      <c r="D246" s="47"/>
      <c r="E246" s="47"/>
      <c r="F246" s="47"/>
      <c r="G246" s="48"/>
      <c r="H246" s="41"/>
      <c r="I246" s="42"/>
      <c r="J246" s="41"/>
      <c r="K246" s="41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</sheetData>
  <conditionalFormatting sqref="A2:K246">
    <cfRule type="expression" dxfId="5" priority="1">
      <formula>$F2="Blocked"</formula>
    </cfRule>
  </conditionalFormatting>
  <conditionalFormatting sqref="A2:K246">
    <cfRule type="expression" dxfId="6" priority="2">
      <formula>AND($F2&lt;&gt;"Done",$G2&lt;TODAY(),$G2&lt;&gt;"")</formula>
    </cfRule>
  </conditionalFormatting>
  <conditionalFormatting sqref="A2:K246">
    <cfRule type="expression" dxfId="7" priority="3">
      <formula>$F2="Waiting"</formula>
    </cfRule>
  </conditionalFormatting>
  <conditionalFormatting sqref="A2:K246">
    <cfRule type="expression" dxfId="8" priority="4">
      <formula>$F2="Done"</formula>
    </cfRule>
  </conditionalFormatting>
  <dataValidations>
    <dataValidation type="list" allowBlank="1" sqref="E2:E246">
      <formula1>Task_Priorities</formula1>
    </dataValidation>
    <dataValidation type="list" allowBlank="1" sqref="F2:F246">
      <formula1>Task_Status</formula1>
    </dataValidation>
    <dataValidation type="list" allowBlank="1" sqref="D2:D246">
      <formula1>Task_Areas</formula1>
    </dataValidation>
    <dataValidation type="custom" allowBlank="1" showDropDown="1" sqref="G2:G246">
      <formula1>OR(NOT(ISERROR(DATEVALUE(G2))), AND(ISNUMBER(G2), LEFT(CELL("format", G2))="D"))</formula1>
    </dataValidation>
    <dataValidation type="list" allowBlank="1" sqref="C2:C246">
      <formula1>Task_Owners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49" t="s">
        <v>42</v>
      </c>
      <c r="B1" s="49" t="s">
        <v>43</v>
      </c>
      <c r="C1" s="49" t="s">
        <v>35</v>
      </c>
      <c r="D1" s="49" t="s">
        <v>38</v>
      </c>
      <c r="E1" s="49" t="s">
        <v>44</v>
      </c>
      <c r="F1" s="49" t="s">
        <v>45</v>
      </c>
      <c r="G1" s="49" t="s">
        <v>46</v>
      </c>
      <c r="H1" s="49" t="s">
        <v>52</v>
      </c>
      <c r="I1" s="49" t="s">
        <v>47</v>
      </c>
      <c r="J1" s="49" t="s">
        <v>53</v>
      </c>
      <c r="K1" s="49" t="s">
        <v>54</v>
      </c>
      <c r="L1" s="49" t="s">
        <v>83</v>
      </c>
    </row>
    <row r="2">
      <c r="A2" s="49" t="s">
        <v>84</v>
      </c>
      <c r="B2" s="49" t="s">
        <v>85</v>
      </c>
      <c r="C2" s="49" t="s">
        <v>9</v>
      </c>
      <c r="D2" s="49" t="s">
        <v>18</v>
      </c>
      <c r="E2" s="49" t="s">
        <v>15</v>
      </c>
      <c r="F2" s="49" t="s">
        <v>23</v>
      </c>
      <c r="G2" s="50">
        <v>46160.0</v>
      </c>
      <c r="L2" s="50">
        <v>46172.57744303241</v>
      </c>
    </row>
    <row r="3">
      <c r="A3" s="49" t="s">
        <v>86</v>
      </c>
      <c r="B3" s="49" t="s">
        <v>87</v>
      </c>
      <c r="C3" s="49" t="s">
        <v>9</v>
      </c>
      <c r="D3" s="49" t="s">
        <v>29</v>
      </c>
      <c r="E3" s="49" t="s">
        <v>15</v>
      </c>
      <c r="F3" s="49" t="s">
        <v>23</v>
      </c>
      <c r="G3" s="50">
        <v>46153.0</v>
      </c>
      <c r="L3" s="50">
        <v>46172.57744303241</v>
      </c>
    </row>
    <row r="4">
      <c r="A4" s="49" t="s">
        <v>88</v>
      </c>
      <c r="B4" s="49" t="s">
        <v>89</v>
      </c>
      <c r="C4" s="49" t="s">
        <v>9</v>
      </c>
      <c r="D4" s="49" t="s">
        <v>31</v>
      </c>
      <c r="E4" s="49" t="s">
        <v>15</v>
      </c>
      <c r="F4" s="49" t="s">
        <v>23</v>
      </c>
      <c r="G4" s="50">
        <v>46145.0</v>
      </c>
      <c r="L4" s="50">
        <v>46172.57744303241</v>
      </c>
    </row>
    <row r="5">
      <c r="A5" s="49" t="s">
        <v>90</v>
      </c>
      <c r="B5" s="49" t="s">
        <v>91</v>
      </c>
      <c r="C5" s="49" t="s">
        <v>9</v>
      </c>
      <c r="D5" s="49" t="s">
        <v>10</v>
      </c>
      <c r="E5" s="49" t="s">
        <v>15</v>
      </c>
      <c r="F5" s="49" t="s">
        <v>23</v>
      </c>
      <c r="G5" s="50">
        <v>46171.0</v>
      </c>
      <c r="L5" s="50">
        <v>46172.57744303241</v>
      </c>
    </row>
    <row r="6">
      <c r="A6" s="49" t="s">
        <v>92</v>
      </c>
      <c r="B6" s="49" t="s">
        <v>93</v>
      </c>
      <c r="C6" s="49" t="s">
        <v>9</v>
      </c>
      <c r="D6" s="49" t="s">
        <v>31</v>
      </c>
      <c r="E6" s="49" t="s">
        <v>15</v>
      </c>
      <c r="F6" s="49" t="s">
        <v>23</v>
      </c>
      <c r="G6" s="50">
        <v>46167.0</v>
      </c>
      <c r="L6" s="50">
        <v>46172.57744303241</v>
      </c>
    </row>
  </sheetData>
  <drawing r:id="rId1"/>
</worksheet>
</file>